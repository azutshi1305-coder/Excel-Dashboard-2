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aa308eb58f7744a/Desktop/TISS/STATISTICS/"/>
    </mc:Choice>
  </mc:AlternateContent>
  <xr:revisionPtr revIDLastSave="6257" documentId="8_{A16D1799-967A-4855-9427-98DA39D13AC2}" xr6:coauthVersionLast="47" xr6:coauthVersionMax="47" xr10:uidLastSave="{91D96FDD-752A-4C45-B6A7-D1C2C692F357}"/>
  <bookViews>
    <workbookView xWindow="-110" yWindow="-110" windowWidth="19420" windowHeight="11020" activeTab="4" xr2:uid="{A18A3E00-F9E5-4D7B-B919-2D1DA46B0A89}"/>
  </bookViews>
  <sheets>
    <sheet name="Population" sheetId="2" r:id="rId1"/>
    <sheet name="Surviving Children" sheetId="1" r:id="rId2"/>
    <sheet name="Education" sheetId="3" r:id="rId3"/>
    <sheet name="Marital Status" sheetId="4" r:id="rId4"/>
    <sheet name="Dashboard" sheetId="5" r:id="rId5"/>
  </sheets>
  <definedNames>
    <definedName name="_xlnm._FilterDatabase" localSheetId="1" hidden="1">'Surviving Children'!$A$2:$J$22</definedName>
    <definedName name="_xlchart.v1.0" hidden="1">Education!$D$19:$D$24</definedName>
    <definedName name="_xlchart.v1.1" hidden="1">Education!$C$19:$C$24</definedName>
    <definedName name="Slicer_Gender">#N/A</definedName>
    <definedName name="Slicer_Urban_Rural">#N/A</definedName>
  </definedNames>
  <calcPr calcId="191029" refMode="R1C1"/>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3" l="1"/>
  <c r="G4" i="3"/>
  <c r="G5" i="3"/>
  <c r="G6" i="3"/>
  <c r="G7" i="3"/>
  <c r="G8" i="3"/>
  <c r="G9" i="3"/>
  <c r="G10" i="3"/>
  <c r="G11" i="3"/>
  <c r="G12" i="3"/>
  <c r="G13" i="3"/>
  <c r="G14" i="3"/>
  <c r="G3" i="1"/>
  <c r="G4" i="1"/>
  <c r="G5" i="1"/>
  <c r="G6" i="1"/>
  <c r="G7" i="1"/>
  <c r="G8" i="1"/>
  <c r="G9" i="1"/>
  <c r="G10" i="1"/>
  <c r="G11" i="1"/>
  <c r="G12" i="1"/>
  <c r="G13" i="1"/>
  <c r="G14" i="1"/>
  <c r="G15" i="1"/>
  <c r="G16" i="1"/>
  <c r="G17" i="1"/>
  <c r="G18" i="1"/>
  <c r="G19" i="1"/>
  <c r="G20" i="1"/>
  <c r="G21" i="1"/>
  <c r="G22" i="1"/>
  <c r="J4" i="1"/>
  <c r="J5" i="1"/>
  <c r="J6" i="1"/>
  <c r="J7" i="1"/>
  <c r="J8" i="1"/>
  <c r="J9" i="1"/>
  <c r="J10" i="1"/>
  <c r="J11" i="1"/>
  <c r="J12" i="1"/>
  <c r="J13" i="1"/>
  <c r="J14" i="1"/>
  <c r="J15" i="1"/>
  <c r="J16" i="1"/>
  <c r="J17" i="1"/>
  <c r="J18" i="1"/>
  <c r="J19" i="1"/>
  <c r="J20" i="1"/>
  <c r="J21" i="1"/>
  <c r="J22" i="1"/>
  <c r="J3" i="1"/>
  <c r="AA12" i="4"/>
  <c r="X12" i="4"/>
  <c r="U12" i="4"/>
  <c r="R12" i="4"/>
  <c r="O12" i="4"/>
  <c r="L12" i="4"/>
  <c r="I12" i="4"/>
  <c r="F12" i="4"/>
  <c r="AA11" i="4"/>
  <c r="X11" i="4"/>
  <c r="U11" i="4"/>
  <c r="R11" i="4"/>
  <c r="O11" i="4"/>
  <c r="L11" i="4"/>
  <c r="I11" i="4"/>
  <c r="F11" i="4"/>
  <c r="AA10" i="4"/>
  <c r="X10" i="4"/>
  <c r="U10" i="4"/>
  <c r="R10" i="4"/>
  <c r="O10" i="4"/>
  <c r="L10" i="4"/>
  <c r="I10" i="4"/>
  <c r="F10" i="4"/>
  <c r="AA9" i="4"/>
  <c r="X9" i="4"/>
  <c r="U9" i="4"/>
  <c r="R9" i="4"/>
  <c r="O9" i="4"/>
  <c r="L9" i="4"/>
  <c r="I9" i="4"/>
  <c r="F9" i="4"/>
  <c r="AA8" i="4"/>
  <c r="X8" i="4"/>
  <c r="U8" i="4"/>
  <c r="R8" i="4"/>
  <c r="O8" i="4"/>
  <c r="L8" i="4"/>
  <c r="I8" i="4"/>
  <c r="F8" i="4"/>
  <c r="AA7" i="4"/>
  <c r="X7" i="4"/>
  <c r="U7" i="4"/>
  <c r="R7" i="4"/>
  <c r="O7" i="4"/>
  <c r="L7" i="4"/>
  <c r="I7" i="4"/>
  <c r="F7" i="4"/>
  <c r="AA6" i="4"/>
  <c r="X6" i="4"/>
  <c r="U6" i="4"/>
  <c r="R6" i="4"/>
  <c r="O6" i="4"/>
  <c r="L6" i="4"/>
  <c r="I6" i="4"/>
  <c r="F6" i="4"/>
  <c r="AA5" i="4"/>
  <c r="X5" i="4"/>
  <c r="U5" i="4"/>
  <c r="R5" i="4"/>
  <c r="O5" i="4"/>
  <c r="L5" i="4"/>
  <c r="I5" i="4"/>
  <c r="F5" i="4"/>
  <c r="AA4" i="4"/>
  <c r="X4" i="4"/>
  <c r="U4" i="4"/>
  <c r="R4" i="4"/>
  <c r="O4" i="4"/>
  <c r="L4" i="4"/>
  <c r="I4" i="4"/>
  <c r="F4" i="4"/>
  <c r="AA3" i="4"/>
  <c r="X3" i="4"/>
  <c r="U3" i="4"/>
  <c r="R3" i="4"/>
  <c r="O3" i="4"/>
  <c r="L3" i="4"/>
  <c r="I3" i="4"/>
  <c r="F3" i="4"/>
</calcChain>
</file>

<file path=xl/sharedStrings.xml><?xml version="1.0" encoding="utf-8"?>
<sst xmlns="http://schemas.openxmlformats.org/spreadsheetml/2006/main" count="453" uniqueCount="103">
  <si>
    <t>Rural</t>
  </si>
  <si>
    <t>Urban</t>
  </si>
  <si>
    <t>Illiterate</t>
  </si>
  <si>
    <t>Literate</t>
  </si>
  <si>
    <t>80+</t>
  </si>
  <si>
    <t>Area</t>
  </si>
  <si>
    <t>Urban/Rural</t>
  </si>
  <si>
    <t>Education</t>
  </si>
  <si>
    <t>Age</t>
  </si>
  <si>
    <t>Total Women</t>
  </si>
  <si>
    <t>Total ever married
women</t>
  </si>
  <si>
    <t>Dehradun</t>
  </si>
  <si>
    <t>60+</t>
  </si>
  <si>
    <t>Age Group</t>
  </si>
  <si>
    <t>Male Population</t>
  </si>
  <si>
    <t>Female Population</t>
  </si>
  <si>
    <t>Total Population</t>
  </si>
  <si>
    <t>Never married</t>
  </si>
  <si>
    <t>Married</t>
  </si>
  <si>
    <t>Widowed</t>
  </si>
  <si>
    <t>Separated</t>
  </si>
  <si>
    <t>Divorced</t>
  </si>
  <si>
    <t>Marital Status</t>
  </si>
  <si>
    <t>Total Number of Surviving Children Male</t>
  </si>
  <si>
    <t>Total Number of Surviving Children Female</t>
  </si>
  <si>
    <t>Total Surviving Children</t>
  </si>
  <si>
    <t>NUMBER OF WOMEN AND EVER MARRIED WOMEN BY PRESENT AGE, EDUCATIONAL LEVEL, TOTAL NUMBER OF SURVIVING CHILDREN</t>
  </si>
  <si>
    <t>Total Male Population</t>
  </si>
  <si>
    <t>Total Female Population</t>
  </si>
  <si>
    <t>Hindu Male Population</t>
  </si>
  <si>
    <t>Hindu Female Population</t>
  </si>
  <si>
    <t>Total Hindu Population</t>
  </si>
  <si>
    <t>Muslim Male Population</t>
  </si>
  <si>
    <t>Muslim Female Population</t>
  </si>
  <si>
    <t>Total Muslim Population</t>
  </si>
  <si>
    <t>Christian Male Population</t>
  </si>
  <si>
    <t>Sikh Male Population</t>
  </si>
  <si>
    <t>Buddhist Male Population</t>
  </si>
  <si>
    <t>Jain Male Population</t>
  </si>
  <si>
    <t>Other Male Population</t>
  </si>
  <si>
    <t>Christian Female Population</t>
  </si>
  <si>
    <t>Christian Total Population</t>
  </si>
  <si>
    <t>Sikh Female Population</t>
  </si>
  <si>
    <t>Sikh Total Population</t>
  </si>
  <si>
    <t>Buddhist Female Population</t>
  </si>
  <si>
    <t>Buddhist Total Population</t>
  </si>
  <si>
    <t>Jain Female Population</t>
  </si>
  <si>
    <t>Jain Total Population</t>
  </si>
  <si>
    <t>Other Female Population</t>
  </si>
  <si>
    <t>Other Total Population</t>
  </si>
  <si>
    <t>MARITAL STATUS BY RELIGIOUS COMMUNITY AND SEX 2011</t>
  </si>
  <si>
    <t>POPULATION ATTENDING EDUCATIONAL INSTITUTE - 2011</t>
  </si>
  <si>
    <t>POPULATION ON THE BASIS OF URBAN/ RURAL AND AGE GROUP - 2011</t>
  </si>
  <si>
    <t>0-19</t>
  </si>
  <si>
    <t>20-39</t>
  </si>
  <si>
    <t>40-59</t>
  </si>
  <si>
    <t>60-79</t>
  </si>
  <si>
    <t>25-59</t>
  </si>
  <si>
    <t>0-24</t>
  </si>
  <si>
    <t>Row Labels</t>
  </si>
  <si>
    <t>Grand Total</t>
  </si>
  <si>
    <t>Sum of Male Population</t>
  </si>
  <si>
    <t>Sum of Female Population</t>
  </si>
  <si>
    <t>Sum of Total Population</t>
  </si>
  <si>
    <t>Column Labels</t>
  </si>
  <si>
    <t>Sum of Total Women</t>
  </si>
  <si>
    <t>(All)</t>
  </si>
  <si>
    <t>Total ever Married/ Total women</t>
  </si>
  <si>
    <t>Sum of Total ever married
women</t>
  </si>
  <si>
    <t>Sum of Total Surviving Children</t>
  </si>
  <si>
    <t>Gender</t>
  </si>
  <si>
    <t>Male</t>
  </si>
  <si>
    <t>Female</t>
  </si>
  <si>
    <t>Population</t>
  </si>
  <si>
    <t>Attending</t>
  </si>
  <si>
    <t>Attendance Rate</t>
  </si>
  <si>
    <t>Sum of Attendance Rate</t>
  </si>
  <si>
    <t>Average of Attendance Rate</t>
  </si>
  <si>
    <t>Sum of Total Hindu Population</t>
  </si>
  <si>
    <t>Sum of Total Muslim Population</t>
  </si>
  <si>
    <t>Sum of Christian Total Population</t>
  </si>
  <si>
    <t>Sum of Sikh Total Population</t>
  </si>
  <si>
    <t>Sum of Buddhist Total Population</t>
  </si>
  <si>
    <t>Sum of Jain Total Population</t>
  </si>
  <si>
    <t>Sum of Other Total Population</t>
  </si>
  <si>
    <t>Mean</t>
  </si>
  <si>
    <t>Standard Error</t>
  </si>
  <si>
    <t>Median</t>
  </si>
  <si>
    <t>Mode</t>
  </si>
  <si>
    <t>Standard Deviation</t>
  </si>
  <si>
    <t>Sample Variance</t>
  </si>
  <si>
    <t>Kurtosis</t>
  </si>
  <si>
    <t>Skewness</t>
  </si>
  <si>
    <t>Range</t>
  </si>
  <si>
    <t>Minimum</t>
  </si>
  <si>
    <t>Maximum</t>
  </si>
  <si>
    <t>Sum</t>
  </si>
  <si>
    <t>Count</t>
  </si>
  <si>
    <t>Female Attending Educational Institutions</t>
  </si>
  <si>
    <t>Male Attending  Educational Institutions</t>
  </si>
  <si>
    <t xml:space="preserve"> </t>
  </si>
  <si>
    <t>Total Rural Population</t>
  </si>
  <si>
    <t>Total Urban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</si>
</sst>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1"/>
      <name val="Calibri"/>
      <family val="2"/>
      <scheme val="minor"/>
    </font>
    <font>
      <sz val="10"/>
      <color indexed="8"/>
      <name val="Times New Roman"/>
      <family val="1"/>
    </font>
    <font>
      <b/>
      <sz val="10"/>
      <color indexed="8"/>
      <name val="Times New Roman"/>
      <family val="1"/>
    </font>
    <font>
      <sz val="11"/>
      <color theme="1"/>
      <name val="Calibri"/>
      <family val="2"/>
      <scheme val="minor"/>
    </font>
    <font>
      <sz val="12"/>
      <color theme="1"/>
      <name val="Calibri"/>
      <family val="2"/>
      <scheme val="minor"/>
    </font>
    <font>
      <i/>
      <sz val="11"/>
      <color theme="1"/>
      <name val="Calibri"/>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6"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s>
  <cellStyleXfs count="2">
    <xf numFmtId="0" fontId="0" fillId="0" borderId="0"/>
    <xf numFmtId="9" fontId="4" fillId="0" borderId="0" applyFont="0" applyFill="0" applyBorder="0" applyAlignment="0" applyProtection="0"/>
  </cellStyleXfs>
  <cellXfs count="81">
    <xf numFmtId="0" fontId="0" fillId="0" borderId="0" xfId="0"/>
    <xf numFmtId="0" fontId="3" fillId="3" borderId="1" xfId="0" applyFont="1" applyFill="1" applyBorder="1" applyAlignment="1">
      <alignment horizontal="center" vertical="center" wrapText="1" readingOrder="1"/>
    </xf>
    <xf numFmtId="0" fontId="3" fillId="3" borderId="6" xfId="0" applyFont="1" applyFill="1" applyBorder="1" applyAlignment="1">
      <alignment horizontal="center" vertical="center" wrapText="1" readingOrder="1"/>
    </xf>
    <xf numFmtId="0" fontId="3" fillId="3" borderId="7" xfId="0" applyFont="1" applyFill="1" applyBorder="1" applyAlignment="1">
      <alignment horizontal="center" vertical="center" wrapText="1" readingOrder="1"/>
    </xf>
    <xf numFmtId="0" fontId="3" fillId="3" borderId="7" xfId="0" applyFont="1" applyFill="1" applyBorder="1" applyAlignment="1">
      <alignment horizontal="center" vertical="top" wrapText="1" readingOrder="1"/>
    </xf>
    <xf numFmtId="0" fontId="3" fillId="3" borderId="8" xfId="0" applyFont="1" applyFill="1" applyBorder="1" applyAlignment="1">
      <alignment horizontal="center" vertical="center" wrapText="1" readingOrder="1"/>
    </xf>
    <xf numFmtId="0" fontId="2" fillId="4" borderId="1"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3" borderId="13" xfId="0" applyFont="1" applyFill="1" applyBorder="1" applyAlignment="1">
      <alignment horizontal="center" vertical="center" wrapText="1" readingOrder="1"/>
    </xf>
    <xf numFmtId="0" fontId="3" fillId="3" borderId="14" xfId="0" applyFont="1" applyFill="1" applyBorder="1" applyAlignment="1">
      <alignment horizontal="center" vertical="center" wrapText="1" readingOrder="1"/>
    </xf>
    <xf numFmtId="0" fontId="2" fillId="4" borderId="13" xfId="0" applyFont="1" applyFill="1" applyBorder="1" applyAlignment="1">
      <alignment horizontal="left" vertical="top" wrapText="1"/>
    </xf>
    <xf numFmtId="0" fontId="2" fillId="4" borderId="15"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4"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3"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3" borderId="20" xfId="0" applyFont="1" applyFill="1" applyBorder="1" applyAlignment="1">
      <alignment horizontal="center" vertical="center" wrapText="1" readingOrder="1"/>
    </xf>
    <xf numFmtId="0" fontId="2" fillId="6" borderId="13"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7" borderId="13" xfId="0" applyFont="1" applyFill="1" applyBorder="1" applyAlignment="1">
      <alignment horizontal="left" vertical="top" wrapText="1"/>
    </xf>
    <xf numFmtId="0" fontId="2" fillId="7" borderId="15" xfId="0" applyFont="1" applyFill="1" applyBorder="1" applyAlignment="1">
      <alignment horizontal="left" vertical="top" wrapText="1"/>
    </xf>
    <xf numFmtId="0" fontId="2" fillId="8" borderId="21" xfId="0" applyFont="1" applyFill="1" applyBorder="1" applyAlignment="1">
      <alignment horizontal="left" vertical="top" wrapText="1"/>
    </xf>
    <xf numFmtId="0" fontId="2" fillId="8" borderId="15" xfId="0" applyFont="1" applyFill="1" applyBorder="1" applyAlignment="1">
      <alignment horizontal="left" vertical="top" wrapText="1"/>
    </xf>
    <xf numFmtId="0" fontId="2" fillId="8" borderId="16" xfId="0" applyFont="1" applyFill="1" applyBorder="1" applyAlignment="1">
      <alignment horizontal="left" vertical="top" wrapText="1"/>
    </xf>
    <xf numFmtId="0" fontId="2" fillId="8" borderId="18" xfId="0" applyFont="1" applyFill="1" applyBorder="1" applyAlignment="1">
      <alignment horizontal="left" vertical="top" wrapText="1"/>
    </xf>
    <xf numFmtId="0" fontId="2" fillId="8" borderId="19" xfId="0" applyFont="1" applyFill="1" applyBorder="1" applyAlignment="1">
      <alignment horizontal="left" vertical="top" wrapText="1"/>
    </xf>
    <xf numFmtId="0" fontId="2" fillId="5" borderId="9" xfId="0" applyFont="1" applyFill="1" applyBorder="1" applyAlignment="1">
      <alignment horizontal="left" vertical="top" wrapText="1"/>
    </xf>
    <xf numFmtId="0" fontId="2" fillId="5" borderId="3"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9" borderId="4"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0" borderId="4"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11" borderId="13"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1" borderId="15" xfId="0" applyFont="1" applyFill="1" applyBorder="1" applyAlignment="1">
      <alignment horizontal="left" vertical="top" wrapText="1"/>
    </xf>
    <xf numFmtId="0" fontId="2" fillId="4" borderId="16" xfId="0" applyFont="1" applyFill="1" applyBorder="1" applyAlignment="1">
      <alignment horizontal="left" vertical="top" wrapText="1"/>
    </xf>
    <xf numFmtId="0" fontId="2" fillId="4" borderId="17" xfId="0" applyFont="1" applyFill="1" applyBorder="1" applyAlignment="1">
      <alignment horizontal="left" vertical="top" wrapText="1"/>
    </xf>
    <xf numFmtId="0" fontId="2" fillId="4" borderId="18" xfId="0" applyFont="1" applyFill="1" applyBorder="1" applyAlignment="1">
      <alignment horizontal="left" vertical="top" wrapText="1"/>
    </xf>
    <xf numFmtId="0" fontId="2" fillId="4" borderId="19" xfId="0" applyFont="1" applyFill="1" applyBorder="1" applyAlignment="1">
      <alignment horizontal="left" vertical="top" wrapText="1"/>
    </xf>
    <xf numFmtId="10" fontId="2" fillId="6" borderId="15" xfId="1" applyNumberFormat="1" applyFont="1" applyFill="1" applyBorder="1" applyAlignment="1">
      <alignment horizontal="left" vertical="top" wrapText="1"/>
    </xf>
    <xf numFmtId="10" fontId="2" fillId="7" borderId="15" xfId="1" applyNumberFormat="1" applyFont="1" applyFill="1" applyBorder="1" applyAlignment="1">
      <alignment horizontal="left" vertical="top" wrapText="1"/>
    </xf>
    <xf numFmtId="10" fontId="2" fillId="4" borderId="15" xfId="1" applyNumberFormat="1" applyFont="1" applyFill="1" applyBorder="1" applyAlignment="1">
      <alignment horizontal="left" vertical="top" wrapText="1"/>
    </xf>
    <xf numFmtId="10" fontId="2" fillId="8" borderId="15" xfId="1" applyNumberFormat="1" applyFont="1" applyFill="1" applyBorder="1" applyAlignment="1">
      <alignment horizontal="left" vertical="top" wrapText="1"/>
    </xf>
    <xf numFmtId="9" fontId="2" fillId="7" borderId="1" xfId="1" applyFont="1" applyFill="1" applyBorder="1" applyAlignment="1">
      <alignment horizontal="left" vertical="top" wrapText="1"/>
    </xf>
    <xf numFmtId="9" fontId="2" fillId="5" borderId="1" xfId="1" applyFont="1" applyFill="1" applyBorder="1" applyAlignment="1">
      <alignment horizontal="left" vertical="top" wrapText="1"/>
    </xf>
    <xf numFmtId="9" fontId="2" fillId="5" borderId="3" xfId="1" applyFont="1" applyFill="1" applyBorder="1" applyAlignment="1">
      <alignment horizontal="left" vertical="top" wrapText="1"/>
    </xf>
    <xf numFmtId="9" fontId="2" fillId="7" borderId="7" xfId="1" applyFont="1" applyFill="1" applyBorder="1" applyAlignment="1">
      <alignment horizontal="left" vertical="top" wrapText="1"/>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xf numFmtId="0" fontId="0" fillId="0" borderId="1" xfId="0" pivotButton="1" applyBorder="1"/>
    <xf numFmtId="0" fontId="0" fillId="0" borderId="1" xfId="0" applyBorder="1"/>
    <xf numFmtId="0" fontId="0" fillId="0" borderId="1" xfId="0" applyBorder="1" applyAlignment="1">
      <alignment horizontal="left" vertical="top"/>
    </xf>
    <xf numFmtId="0" fontId="0" fillId="0" borderId="1" xfId="0" pivotButton="1" applyBorder="1" applyAlignment="1">
      <alignment horizontal="left" vertical="top"/>
    </xf>
    <xf numFmtId="0" fontId="0" fillId="0" borderId="0" xfId="0" applyAlignment="1">
      <alignment horizontal="left" vertical="top"/>
    </xf>
    <xf numFmtId="0" fontId="0" fillId="0" borderId="1" xfId="0" pivotButton="1" applyBorder="1" applyAlignment="1">
      <alignment horizontal="left" vertical="top" wrapText="1"/>
    </xf>
    <xf numFmtId="0" fontId="0" fillId="0" borderId="1" xfId="0" applyBorder="1" applyAlignment="1">
      <alignment horizontal="left" vertical="top" wrapText="1"/>
    </xf>
    <xf numFmtId="9" fontId="0" fillId="0" borderId="1" xfId="0" applyNumberFormat="1" applyBorder="1" applyAlignment="1">
      <alignment horizontal="left" vertical="top" wrapText="1"/>
    </xf>
    <xf numFmtId="0" fontId="1" fillId="12" borderId="1" xfId="0" applyFont="1" applyFill="1" applyBorder="1" applyAlignment="1">
      <alignment horizontal="left" vertical="top" wrapText="1"/>
    </xf>
    <xf numFmtId="0" fontId="6" fillId="0" borderId="0" xfId="0" applyFont="1" applyAlignment="1">
      <alignment horizontal="left" vertical="top"/>
    </xf>
    <xf numFmtId="0" fontId="0" fillId="13" borderId="1" xfId="0" applyFill="1" applyBorder="1" applyAlignment="1">
      <alignment horizontal="left" vertical="top"/>
    </xf>
    <xf numFmtId="0" fontId="0" fillId="14" borderId="1" xfId="0" applyFill="1" applyBorder="1" applyAlignment="1">
      <alignment horizontal="left" vertical="top"/>
    </xf>
    <xf numFmtId="0" fontId="0" fillId="2" borderId="1" xfId="0" applyFill="1" applyBorder="1" applyAlignment="1">
      <alignment horizontal="left" vertical="top"/>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6" fillId="8" borderId="5" xfId="0" applyFont="1" applyFill="1" applyBorder="1" applyAlignment="1">
      <alignment horizontal="center" vertical="top"/>
    </xf>
    <xf numFmtId="0" fontId="6" fillId="8" borderId="4" xfId="0" applyFont="1" applyFill="1" applyBorder="1" applyAlignment="1">
      <alignment horizontal="center" vertical="top"/>
    </xf>
    <xf numFmtId="0" fontId="1" fillId="2" borderId="22"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6" fillId="2" borderId="5" xfId="0" applyFont="1" applyFill="1" applyBorder="1" applyAlignment="1">
      <alignment horizontal="center" vertical="top"/>
    </xf>
    <xf numFmtId="0" fontId="6" fillId="2" borderId="4" xfId="0" applyFont="1" applyFill="1" applyBorder="1" applyAlignment="1">
      <alignment horizontal="center" vertical="top"/>
    </xf>
    <xf numFmtId="0" fontId="6" fillId="14" borderId="5" xfId="0" applyFont="1" applyFill="1" applyBorder="1" applyAlignment="1">
      <alignment horizontal="center" vertical="top"/>
    </xf>
    <xf numFmtId="0" fontId="6" fillId="14" borderId="4" xfId="0" applyFont="1" applyFill="1" applyBorder="1" applyAlignment="1">
      <alignment horizontal="center" vertical="top"/>
    </xf>
    <xf numFmtId="0" fontId="1" fillId="2" borderId="2" xfId="0" applyFont="1" applyFill="1" applyBorder="1" applyAlignment="1">
      <alignment horizontal="center" vertical="center"/>
    </xf>
    <xf numFmtId="0" fontId="0" fillId="0" borderId="1" xfId="0" applyNumberFormat="1" applyBorder="1" applyAlignment="1">
      <alignment horizontal="left" vertical="top" wrapText="1"/>
    </xf>
  </cellXfs>
  <cellStyles count="2">
    <cellStyle name="Normal" xfId="0" builtinId="0"/>
    <cellStyle name="Percent" xfId="1" builtinId="5"/>
  </cellStyles>
  <dxfs count="789">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fill>
        <patternFill patternType="solid">
          <fgColor indexed="64"/>
          <bgColor theme="7" tint="0.399975585192419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dxf>
    <dxf>
      <font>
        <b/>
        <i val="0"/>
        <strike val="0"/>
        <condense val="0"/>
        <extend val="0"/>
        <outline val="0"/>
        <shadow val="0"/>
        <u val="none"/>
        <vertAlign val="baseline"/>
        <sz val="10"/>
        <color indexed="8"/>
        <name val="Times New Roman"/>
        <family val="1"/>
        <scheme val="none"/>
      </font>
      <fill>
        <patternFill patternType="solid">
          <fgColor indexed="64"/>
          <bgColor theme="8" tint="0.79998168889431442"/>
        </patternFill>
      </fill>
      <alignment horizontal="center" vertical="center" textRotation="0" wrapText="1" indent="0" justifyLastLine="0" shrinkToFit="0" readingOrder="1"/>
      <border diagonalUp="0" diagonalDown="0" outline="0">
        <left style="thin">
          <color indexed="64"/>
        </left>
        <right style="thin">
          <color indexed="64"/>
        </right>
        <top/>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8" tint="0.79998168889431442"/>
        </patternFill>
      </fill>
      <alignment horizontal="center" vertical="center" textRotation="0" wrapText="1" indent="0" justifyLastLine="0" shrinkToFit="0" readingOrder="1"/>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left"/>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font>
        <b val="0"/>
        <i val="0"/>
        <strike val="0"/>
        <condense val="0"/>
        <extend val="0"/>
        <outline val="0"/>
        <shadow val="0"/>
        <u val="none"/>
        <vertAlign val="baseline"/>
        <sz val="10"/>
        <color indexed="8"/>
        <name val="Times New Roman"/>
        <family val="1"/>
        <scheme val="none"/>
      </font>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numFmt numFmtId="14" formatCode="0.00%"/>
      <fill>
        <patternFill patternType="solid">
          <fgColor indexed="64"/>
          <bgColor theme="5" tint="0.39997558519241921"/>
        </patternFill>
      </fill>
      <alignment horizontal="left" vertical="top"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8" tint="0.79998168889431442"/>
        </patternFill>
      </fill>
      <alignment horizontal="center" vertical="center" textRotation="0" wrapText="1" indent="0" justifyLastLine="0" shrinkToFit="0" readingOrder="1"/>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Times New Roman"/>
        <family val="1"/>
        <scheme val="none"/>
      </font>
      <fill>
        <patternFill patternType="solid">
          <fgColor indexed="64"/>
          <bgColor theme="8" tint="0.79998168889431442"/>
        </patternFill>
      </fill>
      <alignment horizontal="center" vertical="center" textRotation="0" wrapText="1" indent="0" justifyLastLine="0" shrinkToFit="0" readingOrder="1"/>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s>
  <tableStyles count="2" defaultTableStyle="TableStyleMedium2" defaultPivotStyle="PivotStyleLight16">
    <tableStyle name="Slicer Style 1" pivot="0" table="0" count="1" xr9:uid="{471224F3-E2A3-45C4-A4AD-F3BF69BDC7EA}"/>
    <tableStyle name="Slicer Style 2" pivot="0" table="0" count="2" xr9:uid="{CD56EC80-CAC4-487C-954C-9F4962026707}"/>
  </tableStyles>
  <colors>
    <mruColors>
      <color rgb="FFFAA2B5"/>
      <color rgb="FFFF9966"/>
      <color rgb="FFFF66FF"/>
      <color rgb="FFFF7C80"/>
      <color rgb="FF66FF33"/>
      <color rgb="FFFFFFCC"/>
      <color rgb="FFFFCC00"/>
      <color rgb="FFCC9900"/>
      <color rgb="FFFFFF99"/>
    </mruColors>
  </colors>
  <extLst>
    <ext xmlns:x14="http://schemas.microsoft.com/office/spreadsheetml/2009/9/main" uri="{46F421CA-312F-682f-3DD2-61675219B42D}">
      <x14:dxfs count="3">
        <dxf>
          <fill>
            <patternFill>
              <bgColor theme="5" tint="0.39994506668294322"/>
            </patternFill>
          </fill>
        </dxf>
        <dxf>
          <fill>
            <patternFill>
              <bgColor theme="4"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DASHBOARD.xlsx]Population!PivotTable6</c:name>
    <c:fmtId val="18"/>
  </c:pivotSource>
  <c:chart>
    <c:title>
      <c:tx>
        <c:rich>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r>
              <a:rPr lang="en-IN" sz="1050" b="1">
                <a:solidFill>
                  <a:sysClr val="windowText" lastClr="000000"/>
                </a:solidFill>
              </a:rPr>
              <a:t>URBAN</a:t>
            </a:r>
            <a:r>
              <a:rPr lang="en-IN" sz="1050" b="1" baseline="0">
                <a:solidFill>
                  <a:sysClr val="windowText" lastClr="000000"/>
                </a:solidFill>
              </a:rPr>
              <a:t> - RURAL POPULATION STRUCTURE</a:t>
            </a:r>
            <a:endParaRPr lang="en-IN"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outerShdw dist="50800" dir="3660000" sx="1000" sy="1000" algn="ctr" rotWithShape="0">
              <a:srgbClr val="000000">
                <a:alpha val="43137"/>
              </a:srgbClr>
            </a:outerShdw>
          </a:effectLst>
        </c:spPr>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t="100000" r="100000"/>
            </a:path>
            <a:tileRect l="-100000" b="-100000"/>
          </a:gradFill>
          <a:ln w="19050">
            <a:solidFill>
              <a:schemeClr val="lt1"/>
            </a:solidFill>
          </a:ln>
          <a:effectLst>
            <a:outerShdw dist="50800" dir="3660000" sx="1000" sy="1000" algn="ctr" rotWithShape="0">
              <a:srgbClr val="000000">
                <a:alpha val="43137"/>
              </a:srgbClr>
            </a:outerShdw>
          </a:effectLst>
        </c:spPr>
      </c:pivotFmt>
      <c:pivotFmt>
        <c:idx val="3"/>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outerShdw dist="50800" dir="3660000" sx="1000" sy="1000" algn="ctr" rotWithShape="0">
              <a:srgbClr val="000000">
                <a:alpha val="43137"/>
              </a:srgbClr>
            </a:outerShdw>
          </a:effectLst>
        </c:spPr>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t="100000" r="100000"/>
            </a:path>
            <a:tileRect l="-100000" b="-100000"/>
          </a:gradFill>
          <a:ln w="19050">
            <a:solidFill>
              <a:schemeClr val="lt1"/>
            </a:solidFill>
          </a:ln>
          <a:effectLst>
            <a:outerShdw dist="50800" dir="3660000" sx="1000" sy="1000" algn="ctr" rotWithShape="0">
              <a:srgbClr val="000000">
                <a:alpha val="43137"/>
              </a:srgbClr>
            </a:outerShdw>
          </a:effectLst>
        </c:spPr>
      </c:pivotFmt>
      <c:pivotFmt>
        <c:idx val="6"/>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8"/>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s>
    <c:plotArea>
      <c:layout/>
      <c:doughnutChart>
        <c:varyColors val="1"/>
        <c:ser>
          <c:idx val="0"/>
          <c:order val="0"/>
          <c:tx>
            <c:strRef>
              <c:f>Population!$M$2</c:f>
              <c:strCache>
                <c:ptCount val="1"/>
                <c:pt idx="0">
                  <c:v>Total</c:v>
                </c:pt>
              </c:strCache>
            </c:strRef>
          </c:tx>
          <c:spPr>
            <a:effectLst>
              <a:outerShdw dist="50800" dir="3660000" sx="1000" sy="1000" algn="ctr" rotWithShape="0">
                <a:srgbClr val="000000">
                  <a:alpha val="43137"/>
                </a:srgbClr>
              </a:outerShdw>
            </a:effectLst>
          </c:spPr>
          <c:dPt>
            <c:idx val="0"/>
            <c:bubble3D val="0"/>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extLst>
              <c:ext xmlns:c16="http://schemas.microsoft.com/office/drawing/2014/chart" uri="{C3380CC4-5D6E-409C-BE32-E72D297353CC}">
                <c16:uniqueId val="{00000001-13A6-4E6A-8C63-6AEE2061FBAF}"/>
              </c:ext>
            </c:extLst>
          </c:dPt>
          <c:dPt>
            <c:idx val="1"/>
            <c:bubble3D val="0"/>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extLst>
              <c:ext xmlns:c16="http://schemas.microsoft.com/office/drawing/2014/chart" uri="{C3380CC4-5D6E-409C-BE32-E72D297353CC}">
                <c16:uniqueId val="{00000003-13A6-4E6A-8C63-6AEE2061FB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Population!$L$3:$L$5</c:f>
              <c:strCache>
                <c:ptCount val="2"/>
                <c:pt idx="0">
                  <c:v>Rural</c:v>
                </c:pt>
                <c:pt idx="1">
                  <c:v>Urban</c:v>
                </c:pt>
              </c:strCache>
            </c:strRef>
          </c:cat>
          <c:val>
            <c:numRef>
              <c:f>Population!$M$3:$M$5</c:f>
              <c:numCache>
                <c:formatCode>General</c:formatCode>
                <c:ptCount val="2"/>
                <c:pt idx="0">
                  <c:v>657046</c:v>
                </c:pt>
                <c:pt idx="1">
                  <c:v>868930</c:v>
                </c:pt>
              </c:numCache>
            </c:numRef>
          </c:val>
          <c:extLst>
            <c:ext xmlns:c16="http://schemas.microsoft.com/office/drawing/2014/chart" uri="{C3380CC4-5D6E-409C-BE32-E72D297353CC}">
              <c16:uniqueId val="{00000004-13A6-4E6A-8C63-6AEE2061FBAF}"/>
            </c:ext>
          </c:extLst>
        </c:ser>
        <c:dLbls>
          <c:showLegendKey val="0"/>
          <c:showVal val="0"/>
          <c:showCatName val="0"/>
          <c:showSerName val="0"/>
          <c:showPercent val="1"/>
          <c:showBubbleSize val="0"/>
          <c:showLeaderLines val="1"/>
        </c:dLbls>
        <c:firstSliceAng val="0"/>
        <c:holeSize val="50"/>
      </c:doughnutChart>
      <c:spPr>
        <a:noFill/>
        <a:ln>
          <a:noFill/>
        </a:ln>
        <a:effectLst>
          <a:outerShdw blurRad="50800" dist="127000" sx="1000" sy="1000" algn="ctr" rotWithShape="0">
            <a:srgbClr val="000000"/>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gradFill>
        <a:gsLst>
          <a:gs pos="0">
            <a:schemeClr val="accent5">
              <a:lumMod val="60000"/>
              <a:lumOff val="40000"/>
            </a:schemeClr>
          </a:gs>
          <a:gs pos="100000">
            <a:schemeClr val="accent1">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AGE</a:t>
            </a:r>
            <a:r>
              <a:rPr lang="en-IN" sz="1200" b="1" baseline="0">
                <a:solidFill>
                  <a:sysClr val="windowText" lastClr="000000"/>
                </a:solidFill>
              </a:rPr>
              <a:t> GROUP CONTRIBUTION TO TOTAL POPULATION</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Population!$T$2</c:f>
              <c:strCache>
                <c:ptCount val="1"/>
                <c:pt idx="0">
                  <c:v>Total</c:v>
                </c:pt>
              </c:strCache>
            </c:strRef>
          </c:tx>
          <c:spPr>
            <a:noFill/>
            <a:ln w="31750">
              <a:solidFill>
                <a:schemeClr val="accent2"/>
              </a:solidFill>
            </a:ln>
            <a:effectLst/>
          </c:spPr>
          <c:cat>
            <c:strRef>
              <c:f>Population!$S$3:$S$8</c:f>
              <c:strCache>
                <c:ptCount val="5"/>
                <c:pt idx="0">
                  <c:v>0-19</c:v>
                </c:pt>
                <c:pt idx="1">
                  <c:v>20-39</c:v>
                </c:pt>
                <c:pt idx="2">
                  <c:v>40-59</c:v>
                </c:pt>
                <c:pt idx="3">
                  <c:v>60-79</c:v>
                </c:pt>
                <c:pt idx="4">
                  <c:v>80+</c:v>
                </c:pt>
              </c:strCache>
            </c:strRef>
          </c:cat>
          <c:val>
            <c:numRef>
              <c:f>Population!$T$3:$T$8</c:f>
              <c:numCache>
                <c:formatCode>General</c:formatCode>
                <c:ptCount val="5"/>
                <c:pt idx="0">
                  <c:v>500498</c:v>
                </c:pt>
                <c:pt idx="1">
                  <c:v>584263</c:v>
                </c:pt>
                <c:pt idx="2">
                  <c:v>320433</c:v>
                </c:pt>
                <c:pt idx="3">
                  <c:v>103225</c:v>
                </c:pt>
                <c:pt idx="4">
                  <c:v>17557</c:v>
                </c:pt>
              </c:numCache>
            </c:numRef>
          </c:val>
          <c:extLst>
            <c:ext xmlns:c16="http://schemas.microsoft.com/office/drawing/2014/chart" uri="{C3380CC4-5D6E-409C-BE32-E72D297353CC}">
              <c16:uniqueId val="{00000000-5596-4DE0-8640-68A951A03059}"/>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axId val="1185215023"/>
        <c:axId val="1185222703"/>
      </c:areaChart>
      <c:catAx>
        <c:axId val="11852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22703"/>
        <c:crosses val="autoZero"/>
        <c:auto val="1"/>
        <c:lblAlgn val="ctr"/>
        <c:lblOffset val="100"/>
        <c:noMultiLvlLbl val="0"/>
      </c:catAx>
      <c:valAx>
        <c:axId val="118522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15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gradFill>
        <a:gsLst>
          <a:gs pos="50000">
            <a:schemeClr val="accent4">
              <a:lumMod val="60000"/>
              <a:lumOff val="40000"/>
            </a:schemeClr>
          </a:gs>
          <a:gs pos="0">
            <a:srgbClr val="92D050"/>
          </a:gs>
          <a:gs pos="100000">
            <a:schemeClr val="accent2">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DASHBOARD.xlsx]Population!PivotTable2</c:name>
    <c:fmtId val="1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a:t>GENDER</a:t>
            </a:r>
            <a:r>
              <a:rPr lang="en-IN" sz="1400" b="1" baseline="0"/>
              <a:t> DISTRIBUTION BY AREA TYPE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Population!$P$2</c:f>
              <c:strCache>
                <c:ptCount val="1"/>
                <c:pt idx="0">
                  <c:v>Sum of Male Population</c:v>
                </c:pt>
              </c:strCache>
            </c:strRef>
          </c:tx>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Population!$O$3:$O$5</c:f>
              <c:strCache>
                <c:ptCount val="2"/>
                <c:pt idx="0">
                  <c:v>Rural</c:v>
                </c:pt>
                <c:pt idx="1">
                  <c:v>Urban</c:v>
                </c:pt>
              </c:strCache>
            </c:strRef>
          </c:cat>
          <c:val>
            <c:numRef>
              <c:f>Population!$P$3:$P$5</c:f>
              <c:numCache>
                <c:formatCode>General</c:formatCode>
                <c:ptCount val="2"/>
                <c:pt idx="0">
                  <c:v>355985</c:v>
                </c:pt>
                <c:pt idx="1">
                  <c:v>460206</c:v>
                </c:pt>
              </c:numCache>
            </c:numRef>
          </c:val>
          <c:extLst>
            <c:ext xmlns:c16="http://schemas.microsoft.com/office/drawing/2014/chart" uri="{C3380CC4-5D6E-409C-BE32-E72D297353CC}">
              <c16:uniqueId val="{00000000-8F64-4D38-89EA-CB0661DC0093}"/>
            </c:ext>
          </c:extLst>
        </c:ser>
        <c:ser>
          <c:idx val="1"/>
          <c:order val="1"/>
          <c:tx>
            <c:strRef>
              <c:f>Population!$Q$2</c:f>
              <c:strCache>
                <c:ptCount val="1"/>
                <c:pt idx="0">
                  <c:v>Sum of Female Population</c:v>
                </c:pt>
              </c:strCache>
            </c:strRef>
          </c:tx>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Population!$O$3:$O$5</c:f>
              <c:strCache>
                <c:ptCount val="2"/>
                <c:pt idx="0">
                  <c:v>Rural</c:v>
                </c:pt>
                <c:pt idx="1">
                  <c:v>Urban</c:v>
                </c:pt>
              </c:strCache>
            </c:strRef>
          </c:cat>
          <c:val>
            <c:numRef>
              <c:f>Population!$Q$3:$Q$5</c:f>
              <c:numCache>
                <c:formatCode>General</c:formatCode>
                <c:ptCount val="2"/>
                <c:pt idx="0">
                  <c:v>332163</c:v>
                </c:pt>
                <c:pt idx="1">
                  <c:v>408724</c:v>
                </c:pt>
              </c:numCache>
            </c:numRef>
          </c:val>
          <c:extLst>
            <c:ext xmlns:c16="http://schemas.microsoft.com/office/drawing/2014/chart" uri="{C3380CC4-5D6E-409C-BE32-E72D297353CC}">
              <c16:uniqueId val="{00000001-8F64-4D38-89EA-CB0661DC0093}"/>
            </c:ext>
          </c:extLst>
        </c:ser>
        <c:dLbls>
          <c:showLegendKey val="0"/>
          <c:showVal val="1"/>
          <c:showCatName val="0"/>
          <c:showSerName val="0"/>
          <c:showPercent val="0"/>
          <c:showBubbleSize val="0"/>
        </c:dLbls>
        <c:gapWidth val="95"/>
        <c:overlap val="100"/>
        <c:axId val="975304847"/>
        <c:axId val="975306287"/>
      </c:barChart>
      <c:catAx>
        <c:axId val="9753048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5306287"/>
        <c:crosses val="autoZero"/>
        <c:auto val="1"/>
        <c:lblAlgn val="ctr"/>
        <c:lblOffset val="100"/>
        <c:noMultiLvlLbl val="0"/>
      </c:catAx>
      <c:valAx>
        <c:axId val="975306287"/>
        <c:scaling>
          <c:orientation val="minMax"/>
        </c:scaling>
        <c:delete val="1"/>
        <c:axPos val="l"/>
        <c:numFmt formatCode="General" sourceLinked="1"/>
        <c:majorTickMark val="none"/>
        <c:minorTickMark val="none"/>
        <c:tickLblPos val="nextTo"/>
        <c:crossAx val="97530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6675" cap="flat" cmpd="sng" algn="ctr">
      <a:gradFill>
        <a:gsLst>
          <a:gs pos="50000">
            <a:schemeClr val="accent6">
              <a:lumMod val="60000"/>
              <a:lumOff val="40000"/>
            </a:schemeClr>
          </a:gs>
          <a:gs pos="0">
            <a:schemeClr val="accent6">
              <a:lumMod val="40000"/>
              <a:lumOff val="60000"/>
            </a:schemeClr>
          </a:gs>
          <a:gs pos="100000">
            <a:schemeClr val="accent6">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DASHBOARD.xlsx]Population!PivotTable5</c:name>
    <c:fmtId val="3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solidFill>
                  <a:schemeClr val="tx2"/>
                </a:solidFill>
                <a:latin typeface="+mn-lt"/>
              </a:rPr>
              <a:t>MALE</a:t>
            </a:r>
            <a:r>
              <a:rPr lang="en-IN" sz="1400" baseline="0">
                <a:solidFill>
                  <a:schemeClr val="tx2"/>
                </a:solidFill>
                <a:latin typeface="+mn-lt"/>
              </a:rPr>
              <a:t> AND FEMALE DISTRIBUTION WRT AGE</a:t>
            </a:r>
            <a:endParaRPr lang="en-IN" sz="1400">
              <a:solidFill>
                <a:schemeClr val="tx2"/>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Population!$I$2</c:f>
              <c:strCache>
                <c:ptCount val="1"/>
                <c:pt idx="0">
                  <c:v>Sum of Female Population</c:v>
                </c:pt>
              </c:strCache>
            </c:strRef>
          </c:tx>
          <c:spPr>
            <a:solidFill>
              <a:schemeClr val="accent1">
                <a:lumMod val="40000"/>
                <a:lumOff val="60000"/>
              </a:schemeClr>
            </a:solidFill>
            <a:ln>
              <a:noFill/>
            </a:ln>
            <a:effectLst/>
          </c:spPr>
          <c:invertIfNegative val="0"/>
          <c:cat>
            <c:strRef>
              <c:f>Population!$H$3:$H$7</c:f>
              <c:strCache>
                <c:ptCount val="5"/>
                <c:pt idx="0">
                  <c:v>0-19</c:v>
                </c:pt>
                <c:pt idx="1">
                  <c:v>20-39</c:v>
                </c:pt>
                <c:pt idx="2">
                  <c:v>40-59</c:v>
                </c:pt>
                <c:pt idx="3">
                  <c:v>60-79</c:v>
                </c:pt>
                <c:pt idx="4">
                  <c:v>80+</c:v>
                </c:pt>
              </c:strCache>
            </c:strRef>
          </c:cat>
          <c:val>
            <c:numRef>
              <c:f>Population!$I$3:$I$7</c:f>
              <c:numCache>
                <c:formatCode>General</c:formatCode>
                <c:ptCount val="5"/>
                <c:pt idx="0">
                  <c:v>230211</c:v>
                </c:pt>
                <c:pt idx="1">
                  <c:v>282831</c:v>
                </c:pt>
                <c:pt idx="2">
                  <c:v>153390</c:v>
                </c:pt>
                <c:pt idx="3">
                  <c:v>65304</c:v>
                </c:pt>
                <c:pt idx="4">
                  <c:v>9151</c:v>
                </c:pt>
              </c:numCache>
            </c:numRef>
          </c:val>
          <c:extLst>
            <c:ext xmlns:c16="http://schemas.microsoft.com/office/drawing/2014/chart" uri="{C3380CC4-5D6E-409C-BE32-E72D297353CC}">
              <c16:uniqueId val="{00000000-C0DB-4571-9A0D-BFAC7B59F018}"/>
            </c:ext>
          </c:extLst>
        </c:ser>
        <c:ser>
          <c:idx val="1"/>
          <c:order val="1"/>
          <c:tx>
            <c:strRef>
              <c:f>Population!$J$2</c:f>
              <c:strCache>
                <c:ptCount val="1"/>
                <c:pt idx="0">
                  <c:v>Sum of Male Population</c:v>
                </c:pt>
              </c:strCache>
            </c:strRef>
          </c:tx>
          <c:spPr>
            <a:solidFill>
              <a:schemeClr val="accent4">
                <a:lumMod val="60000"/>
                <a:lumOff val="40000"/>
              </a:schemeClr>
            </a:solidFill>
            <a:ln>
              <a:noFill/>
            </a:ln>
            <a:effectLst/>
          </c:spPr>
          <c:invertIfNegative val="0"/>
          <c:cat>
            <c:strRef>
              <c:f>Population!$H$3:$H$7</c:f>
              <c:strCache>
                <c:ptCount val="5"/>
                <c:pt idx="0">
                  <c:v>0-19</c:v>
                </c:pt>
                <c:pt idx="1">
                  <c:v>20-39</c:v>
                </c:pt>
                <c:pt idx="2">
                  <c:v>40-59</c:v>
                </c:pt>
                <c:pt idx="3">
                  <c:v>60-79</c:v>
                </c:pt>
                <c:pt idx="4">
                  <c:v>80+</c:v>
                </c:pt>
              </c:strCache>
            </c:strRef>
          </c:cat>
          <c:val>
            <c:numRef>
              <c:f>Population!$J$3:$J$7</c:f>
              <c:numCache>
                <c:formatCode>General</c:formatCode>
                <c:ptCount val="5"/>
                <c:pt idx="0">
                  <c:v>270287</c:v>
                </c:pt>
                <c:pt idx="1">
                  <c:v>301432</c:v>
                </c:pt>
                <c:pt idx="2">
                  <c:v>167043</c:v>
                </c:pt>
                <c:pt idx="3">
                  <c:v>69023</c:v>
                </c:pt>
                <c:pt idx="4">
                  <c:v>8406</c:v>
                </c:pt>
              </c:numCache>
            </c:numRef>
          </c:val>
          <c:extLst>
            <c:ext xmlns:c16="http://schemas.microsoft.com/office/drawing/2014/chart" uri="{C3380CC4-5D6E-409C-BE32-E72D297353CC}">
              <c16:uniqueId val="{00000001-C0DB-4571-9A0D-BFAC7B59F018}"/>
            </c:ext>
          </c:extLst>
        </c:ser>
        <c:dLbls>
          <c:showLegendKey val="0"/>
          <c:showVal val="0"/>
          <c:showCatName val="0"/>
          <c:showSerName val="0"/>
          <c:showPercent val="0"/>
          <c:showBubbleSize val="0"/>
        </c:dLbls>
        <c:gapWidth val="75"/>
        <c:overlap val="-25"/>
        <c:axId val="1065028751"/>
        <c:axId val="1065023471"/>
      </c:barChart>
      <c:catAx>
        <c:axId val="1065028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23471"/>
        <c:crosses val="autoZero"/>
        <c:auto val="1"/>
        <c:lblAlgn val="ctr"/>
        <c:lblOffset val="100"/>
        <c:noMultiLvlLbl val="0"/>
      </c:catAx>
      <c:valAx>
        <c:axId val="106502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2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4">
              <a:lumMod val="60000"/>
              <a:lumOff val="40000"/>
            </a:schemeClr>
          </a:gs>
          <a:gs pos="38000">
            <a:schemeClr val="accent4">
              <a:lumMod val="75000"/>
            </a:schemeClr>
          </a:gs>
          <a:gs pos="96000">
            <a:schemeClr val="accent2">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WOMEN VS TOTAL EVER MARRIED WOMEN BY AGE AND AREA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C00000"/>
            </a:solidFill>
            <a:round/>
          </a:ln>
          <a:effectLst/>
        </c:spPr>
        <c:marker>
          <c:symbol val="circle"/>
          <c:size val="6"/>
          <c:spPr>
            <a:solidFill>
              <a:srgbClr val="C00000"/>
            </a:solidFill>
            <a:ln w="12700">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'Surviving Children'!$Q$2:$Q$4</c:f>
              <c:strCache>
                <c:ptCount val="1"/>
                <c:pt idx="0">
                  <c:v>Rural - Sum of Total Women</c:v>
                </c:pt>
              </c:strCache>
            </c:strRef>
          </c:tx>
          <c:spPr>
            <a:solidFill>
              <a:schemeClr val="accent2">
                <a:lumMod val="60000"/>
                <a:lumOff val="40000"/>
              </a:schemeClr>
            </a:solidFill>
            <a:ln>
              <a:noFill/>
            </a:ln>
            <a:effectLst/>
          </c:spPr>
          <c:invertIfNegative val="0"/>
          <c:cat>
            <c:strRef>
              <c:f>'Surviving Children'!$P$5:$P$9</c:f>
              <c:strCache>
                <c:ptCount val="5"/>
                <c:pt idx="0">
                  <c:v>0-19</c:v>
                </c:pt>
                <c:pt idx="1">
                  <c:v>20-39</c:v>
                </c:pt>
                <c:pt idx="2">
                  <c:v>40-59</c:v>
                </c:pt>
                <c:pt idx="3">
                  <c:v>60-79</c:v>
                </c:pt>
                <c:pt idx="4">
                  <c:v>80+</c:v>
                </c:pt>
              </c:strCache>
            </c:strRef>
          </c:cat>
          <c:val>
            <c:numRef>
              <c:f>'Surviving Children'!$Q$5:$Q$9</c:f>
              <c:numCache>
                <c:formatCode>General</c:formatCode>
                <c:ptCount val="5"/>
                <c:pt idx="0">
                  <c:v>145072</c:v>
                </c:pt>
                <c:pt idx="1">
                  <c:v>122620</c:v>
                </c:pt>
                <c:pt idx="2">
                  <c:v>62312</c:v>
                </c:pt>
                <c:pt idx="3">
                  <c:v>27093</c:v>
                </c:pt>
                <c:pt idx="4">
                  <c:v>3807</c:v>
                </c:pt>
              </c:numCache>
            </c:numRef>
          </c:val>
          <c:extLst>
            <c:ext xmlns:c16="http://schemas.microsoft.com/office/drawing/2014/chart" uri="{C3380CC4-5D6E-409C-BE32-E72D297353CC}">
              <c16:uniqueId val="{00000000-D82A-4120-81E5-2A552DFE7BBE}"/>
            </c:ext>
          </c:extLst>
        </c:ser>
        <c:ser>
          <c:idx val="2"/>
          <c:order val="2"/>
          <c:tx>
            <c:strRef>
              <c:f>'Surviving Children'!$S$2:$S$4</c:f>
              <c:strCache>
                <c:ptCount val="1"/>
                <c:pt idx="0">
                  <c:v>Urban - Sum of Total Women</c:v>
                </c:pt>
              </c:strCache>
            </c:strRef>
          </c:tx>
          <c:spPr>
            <a:solidFill>
              <a:schemeClr val="accent5">
                <a:lumMod val="60000"/>
                <a:lumOff val="40000"/>
              </a:schemeClr>
            </a:solidFill>
            <a:ln>
              <a:noFill/>
            </a:ln>
            <a:effectLst/>
          </c:spPr>
          <c:invertIfNegative val="0"/>
          <c:cat>
            <c:strRef>
              <c:f>'Surviving Children'!$P$5:$P$9</c:f>
              <c:strCache>
                <c:ptCount val="5"/>
                <c:pt idx="0">
                  <c:v>0-19</c:v>
                </c:pt>
                <c:pt idx="1">
                  <c:v>20-39</c:v>
                </c:pt>
                <c:pt idx="2">
                  <c:v>40-59</c:v>
                </c:pt>
                <c:pt idx="3">
                  <c:v>60-79</c:v>
                </c:pt>
                <c:pt idx="4">
                  <c:v>80+</c:v>
                </c:pt>
              </c:strCache>
            </c:strRef>
          </c:cat>
          <c:val>
            <c:numRef>
              <c:f>'Surviving Children'!$S$5:$S$9</c:f>
              <c:numCache>
                <c:formatCode>General</c:formatCode>
                <c:ptCount val="5"/>
                <c:pt idx="0">
                  <c:v>150220</c:v>
                </c:pt>
                <c:pt idx="1">
                  <c:v>160211</c:v>
                </c:pt>
                <c:pt idx="2">
                  <c:v>91078</c:v>
                </c:pt>
                <c:pt idx="3">
                  <c:v>34202</c:v>
                </c:pt>
                <c:pt idx="4">
                  <c:v>5344</c:v>
                </c:pt>
              </c:numCache>
            </c:numRef>
          </c:val>
          <c:extLst>
            <c:ext xmlns:c16="http://schemas.microsoft.com/office/drawing/2014/chart" uri="{C3380CC4-5D6E-409C-BE32-E72D297353CC}">
              <c16:uniqueId val="{00000002-D82A-4120-81E5-2A552DFE7BBE}"/>
            </c:ext>
          </c:extLst>
        </c:ser>
        <c:dLbls>
          <c:showLegendKey val="0"/>
          <c:showVal val="0"/>
          <c:showCatName val="0"/>
          <c:showSerName val="0"/>
          <c:showPercent val="0"/>
          <c:showBubbleSize val="0"/>
        </c:dLbls>
        <c:gapWidth val="75"/>
        <c:overlap val="-25"/>
        <c:axId val="1543505935"/>
        <c:axId val="1543532815"/>
      </c:barChart>
      <c:lineChart>
        <c:grouping val="standard"/>
        <c:varyColors val="0"/>
        <c:ser>
          <c:idx val="1"/>
          <c:order val="1"/>
          <c:tx>
            <c:strRef>
              <c:f>'Surviving Children'!$R$2:$R$4</c:f>
              <c:strCache>
                <c:ptCount val="1"/>
                <c:pt idx="0">
                  <c:v>Rural - Sum of Total ever married
women</c:v>
                </c:pt>
              </c:strCache>
            </c:strRef>
          </c:tx>
          <c:spPr>
            <a:ln w="31750" cap="rnd">
              <a:solidFill>
                <a:srgbClr val="C00000"/>
              </a:solidFill>
              <a:round/>
            </a:ln>
            <a:effectLst/>
          </c:spPr>
          <c:marker>
            <c:symbol val="circle"/>
            <c:size val="6"/>
            <c:spPr>
              <a:solidFill>
                <a:srgbClr val="C00000"/>
              </a:solidFill>
              <a:ln w="12700">
                <a:solidFill>
                  <a:srgbClr val="C00000"/>
                </a:solidFill>
                <a:round/>
              </a:ln>
              <a:effectLst/>
            </c:spPr>
          </c:marker>
          <c:cat>
            <c:strRef>
              <c:f>'Surviving Children'!$P$5:$P$9</c:f>
              <c:strCache>
                <c:ptCount val="5"/>
                <c:pt idx="0">
                  <c:v>0-19</c:v>
                </c:pt>
                <c:pt idx="1">
                  <c:v>20-39</c:v>
                </c:pt>
                <c:pt idx="2">
                  <c:v>40-59</c:v>
                </c:pt>
                <c:pt idx="3">
                  <c:v>60-79</c:v>
                </c:pt>
                <c:pt idx="4">
                  <c:v>80+</c:v>
                </c:pt>
              </c:strCache>
            </c:strRef>
          </c:cat>
          <c:val>
            <c:numRef>
              <c:f>'Surviving Children'!$R$5:$R$9</c:f>
              <c:numCache>
                <c:formatCode>General</c:formatCode>
                <c:ptCount val="5"/>
                <c:pt idx="0">
                  <c:v>4289</c:v>
                </c:pt>
                <c:pt idx="1">
                  <c:v>100017</c:v>
                </c:pt>
                <c:pt idx="2">
                  <c:v>61851</c:v>
                </c:pt>
                <c:pt idx="3">
                  <c:v>26520</c:v>
                </c:pt>
                <c:pt idx="4">
                  <c:v>3669</c:v>
                </c:pt>
              </c:numCache>
            </c:numRef>
          </c:val>
          <c:smooth val="0"/>
          <c:extLst>
            <c:ext xmlns:c16="http://schemas.microsoft.com/office/drawing/2014/chart" uri="{C3380CC4-5D6E-409C-BE32-E72D297353CC}">
              <c16:uniqueId val="{00000001-D82A-4120-81E5-2A552DFE7BBE}"/>
            </c:ext>
          </c:extLst>
        </c:ser>
        <c:ser>
          <c:idx val="3"/>
          <c:order val="3"/>
          <c:tx>
            <c:strRef>
              <c:f>'Surviving Children'!$T$2:$T$4</c:f>
              <c:strCache>
                <c:ptCount val="1"/>
                <c:pt idx="0">
                  <c:v>Urban - Sum of Total ever married
women</c:v>
                </c:pt>
              </c:strCache>
            </c:strRef>
          </c:tx>
          <c:spPr>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cat>
            <c:strRef>
              <c:f>'Surviving Children'!$P$5:$P$9</c:f>
              <c:strCache>
                <c:ptCount val="5"/>
                <c:pt idx="0">
                  <c:v>0-19</c:v>
                </c:pt>
                <c:pt idx="1">
                  <c:v>20-39</c:v>
                </c:pt>
                <c:pt idx="2">
                  <c:v>40-59</c:v>
                </c:pt>
                <c:pt idx="3">
                  <c:v>60-79</c:v>
                </c:pt>
                <c:pt idx="4">
                  <c:v>80+</c:v>
                </c:pt>
              </c:strCache>
            </c:strRef>
          </c:cat>
          <c:val>
            <c:numRef>
              <c:f>'Surviving Children'!$T$5:$T$9</c:f>
              <c:numCache>
                <c:formatCode>General</c:formatCode>
                <c:ptCount val="5"/>
                <c:pt idx="0">
                  <c:v>4606</c:v>
                </c:pt>
                <c:pt idx="1">
                  <c:v>124447</c:v>
                </c:pt>
                <c:pt idx="2">
                  <c:v>89583</c:v>
                </c:pt>
                <c:pt idx="3">
                  <c:v>33369</c:v>
                </c:pt>
                <c:pt idx="4">
                  <c:v>5085</c:v>
                </c:pt>
              </c:numCache>
            </c:numRef>
          </c:val>
          <c:smooth val="0"/>
          <c:extLst>
            <c:ext xmlns:c16="http://schemas.microsoft.com/office/drawing/2014/chart" uri="{C3380CC4-5D6E-409C-BE32-E72D297353CC}">
              <c16:uniqueId val="{00000003-D82A-4120-81E5-2A552DFE7BBE}"/>
            </c:ext>
          </c:extLst>
        </c:ser>
        <c:dLbls>
          <c:showLegendKey val="0"/>
          <c:showVal val="0"/>
          <c:showCatName val="0"/>
          <c:showSerName val="0"/>
          <c:showPercent val="0"/>
          <c:showBubbleSize val="0"/>
        </c:dLbls>
        <c:marker val="1"/>
        <c:smooth val="0"/>
        <c:axId val="1550122575"/>
        <c:axId val="1550143695"/>
      </c:lineChart>
      <c:catAx>
        <c:axId val="1550122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43695"/>
        <c:crosses val="autoZero"/>
        <c:auto val="1"/>
        <c:lblAlgn val="ctr"/>
        <c:lblOffset val="100"/>
        <c:noMultiLvlLbl val="0"/>
      </c:catAx>
      <c:valAx>
        <c:axId val="15501436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22575"/>
        <c:crosses val="autoZero"/>
        <c:crossBetween val="between"/>
      </c:valAx>
      <c:valAx>
        <c:axId val="15435328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3505935"/>
        <c:crosses val="max"/>
        <c:crossBetween val="between"/>
      </c:valAx>
      <c:catAx>
        <c:axId val="1543505935"/>
        <c:scaling>
          <c:orientation val="minMax"/>
        </c:scaling>
        <c:delete val="1"/>
        <c:axPos val="l"/>
        <c:numFmt formatCode="General" sourceLinked="1"/>
        <c:majorTickMark val="none"/>
        <c:minorTickMark val="none"/>
        <c:tickLblPos val="nextTo"/>
        <c:crossAx val="15435328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8000"/>
              <a:lumOff val="32000"/>
            </a:schemeClr>
          </a:gs>
          <a:gs pos="51000">
            <a:schemeClr val="accent2">
              <a:lumMod val="75000"/>
            </a:schemeClr>
          </a:gs>
          <a:gs pos="100000">
            <a:schemeClr val="accent2">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Children!PivotTable5</c:name>
    <c:fmtId val="13"/>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IN" sz="1200"/>
              <a:t>TOTAL WOMEN BY EDUCATION AND AGE GROUP</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Children'!$M$3:$M$4</c:f>
              <c:strCache>
                <c:ptCount val="1"/>
                <c:pt idx="0">
                  <c:v>Illiterate</c:v>
                </c:pt>
              </c:strCache>
            </c:strRef>
          </c:tx>
          <c:spPr>
            <a:solidFill>
              <a:schemeClr val="accent6">
                <a:lumMod val="60000"/>
                <a:lumOff val="40000"/>
              </a:schemeClr>
            </a:solidFill>
            <a:ln>
              <a:noFill/>
            </a:ln>
            <a:effectLst/>
          </c:spPr>
          <c:invertIfNegative val="0"/>
          <c:cat>
            <c:strRef>
              <c:f>'Surviving Children'!$L$5:$L$9</c:f>
              <c:strCache>
                <c:ptCount val="5"/>
                <c:pt idx="0">
                  <c:v>0-19</c:v>
                </c:pt>
                <c:pt idx="1">
                  <c:v>20-39</c:v>
                </c:pt>
                <c:pt idx="2">
                  <c:v>40-59</c:v>
                </c:pt>
                <c:pt idx="3">
                  <c:v>60-79</c:v>
                </c:pt>
                <c:pt idx="4">
                  <c:v>80+</c:v>
                </c:pt>
              </c:strCache>
            </c:strRef>
          </c:cat>
          <c:val>
            <c:numRef>
              <c:f>'Surviving Children'!$M$5:$M$9</c:f>
              <c:numCache>
                <c:formatCode>General</c:formatCode>
                <c:ptCount val="5"/>
                <c:pt idx="0">
                  <c:v>107486</c:v>
                </c:pt>
                <c:pt idx="1">
                  <c:v>47659</c:v>
                </c:pt>
                <c:pt idx="2">
                  <c:v>52200</c:v>
                </c:pt>
                <c:pt idx="3">
                  <c:v>33282</c:v>
                </c:pt>
                <c:pt idx="4">
                  <c:v>5831</c:v>
                </c:pt>
              </c:numCache>
            </c:numRef>
          </c:val>
          <c:extLst>
            <c:ext xmlns:c16="http://schemas.microsoft.com/office/drawing/2014/chart" uri="{C3380CC4-5D6E-409C-BE32-E72D297353CC}">
              <c16:uniqueId val="{00000000-50BD-446A-B9EB-43F572F08E17}"/>
            </c:ext>
          </c:extLst>
        </c:ser>
        <c:ser>
          <c:idx val="1"/>
          <c:order val="1"/>
          <c:tx>
            <c:strRef>
              <c:f>'Surviving Children'!$N$3:$N$4</c:f>
              <c:strCache>
                <c:ptCount val="1"/>
                <c:pt idx="0">
                  <c:v>Literate</c:v>
                </c:pt>
              </c:strCache>
            </c:strRef>
          </c:tx>
          <c:spPr>
            <a:solidFill>
              <a:schemeClr val="accent2"/>
            </a:solidFill>
            <a:ln>
              <a:noFill/>
            </a:ln>
            <a:effectLst/>
          </c:spPr>
          <c:invertIfNegative val="0"/>
          <c:cat>
            <c:strRef>
              <c:f>'Surviving Children'!$L$5:$L$9</c:f>
              <c:strCache>
                <c:ptCount val="5"/>
                <c:pt idx="0">
                  <c:v>0-19</c:v>
                </c:pt>
                <c:pt idx="1">
                  <c:v>20-39</c:v>
                </c:pt>
                <c:pt idx="2">
                  <c:v>40-59</c:v>
                </c:pt>
                <c:pt idx="3">
                  <c:v>60-79</c:v>
                </c:pt>
                <c:pt idx="4">
                  <c:v>80+</c:v>
                </c:pt>
              </c:strCache>
            </c:strRef>
          </c:cat>
          <c:val>
            <c:numRef>
              <c:f>'Surviving Children'!$N$5:$N$9</c:f>
              <c:numCache>
                <c:formatCode>General</c:formatCode>
                <c:ptCount val="5"/>
                <c:pt idx="0">
                  <c:v>187806</c:v>
                </c:pt>
                <c:pt idx="1">
                  <c:v>235172</c:v>
                </c:pt>
                <c:pt idx="2">
                  <c:v>101190</c:v>
                </c:pt>
                <c:pt idx="3">
                  <c:v>28013</c:v>
                </c:pt>
                <c:pt idx="4">
                  <c:v>3320</c:v>
                </c:pt>
              </c:numCache>
            </c:numRef>
          </c:val>
          <c:extLst>
            <c:ext xmlns:c16="http://schemas.microsoft.com/office/drawing/2014/chart" uri="{C3380CC4-5D6E-409C-BE32-E72D297353CC}">
              <c16:uniqueId val="{00000001-50BD-446A-B9EB-43F572F08E17}"/>
            </c:ext>
          </c:extLst>
        </c:ser>
        <c:dLbls>
          <c:showLegendKey val="0"/>
          <c:showVal val="0"/>
          <c:showCatName val="0"/>
          <c:showSerName val="0"/>
          <c:showPercent val="0"/>
          <c:showBubbleSize val="0"/>
        </c:dLbls>
        <c:gapWidth val="150"/>
        <c:axId val="1241430383"/>
        <c:axId val="1241453903"/>
      </c:barChart>
      <c:catAx>
        <c:axId val="1241430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453903"/>
        <c:crosses val="autoZero"/>
        <c:auto val="1"/>
        <c:lblAlgn val="ctr"/>
        <c:lblOffset val="100"/>
        <c:noMultiLvlLbl val="0"/>
      </c:catAx>
      <c:valAx>
        <c:axId val="124145390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430383"/>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0000"/>
              <a:lumOff val="40000"/>
            </a:schemeClr>
          </a:gs>
          <a:gs pos="54000">
            <a:srgbClr val="00B050"/>
          </a:gs>
          <a:gs pos="100000">
            <a:schemeClr val="accent4">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Children!PivotTable4</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EVER</a:t>
            </a:r>
            <a:r>
              <a:rPr lang="en-US" b="1" baseline="0">
                <a:solidFill>
                  <a:schemeClr val="tx1"/>
                </a:solidFill>
              </a:rPr>
              <a:t> MARRIED WOMEN BY URBAN - RURAL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b="100000"/>
            </a:path>
            <a:tileRect t="-100000" r="-100000"/>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b="100000"/>
            </a:path>
            <a:tileRect t="-100000" r="-100000"/>
          </a:gradFill>
          <a:ln>
            <a:noFill/>
          </a:ln>
          <a:effectLst/>
        </c:spPr>
      </c:pivotFmt>
      <c:pivotFmt>
        <c:idx val="5"/>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6">
              <a:lumMod val="60000"/>
              <a:lumOff val="40000"/>
            </a:schemeClr>
          </a:solidFill>
          <a:ln>
            <a:noFill/>
          </a:ln>
          <a:effectLst/>
        </c:spPr>
      </c:pivotFmt>
    </c:pivotFmts>
    <c:plotArea>
      <c:layout/>
      <c:barChart>
        <c:barDir val="bar"/>
        <c:grouping val="clustered"/>
        <c:varyColors val="0"/>
        <c:ser>
          <c:idx val="0"/>
          <c:order val="0"/>
          <c:tx>
            <c:strRef>
              <c:f>'Surviving Children'!$W$2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65BA-44A9-8B10-B901FA691D9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5BA-44A9-8B10-B901FA691D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'Surviving Children'!$V$3:$V$4</c:f>
              <c:strCache>
                <c:ptCount val="2"/>
                <c:pt idx="0">
                  <c:v>Rural</c:v>
                </c:pt>
                <c:pt idx="1">
                  <c:v>Urban</c:v>
                </c:pt>
              </c:strCache>
            </c:strRef>
          </c:cat>
          <c:val>
            <c:numRef>
              <c:f>'Surviving Children'!$W$3:$W$4</c:f>
              <c:numCache>
                <c:formatCode>General</c:formatCode>
                <c:ptCount val="2"/>
                <c:pt idx="0">
                  <c:v>196346</c:v>
                </c:pt>
                <c:pt idx="1">
                  <c:v>257090</c:v>
                </c:pt>
              </c:numCache>
            </c:numRef>
          </c:val>
          <c:extLst>
            <c:ext xmlns:c16="http://schemas.microsoft.com/office/drawing/2014/chart" uri="{C3380CC4-5D6E-409C-BE32-E72D297353CC}">
              <c16:uniqueId val="{00000004-65BA-44A9-8B10-B901FA691D97}"/>
            </c:ext>
          </c:extLst>
        </c:ser>
        <c:dLbls>
          <c:showLegendKey val="0"/>
          <c:showVal val="1"/>
          <c:showCatName val="0"/>
          <c:showSerName val="0"/>
          <c:showPercent val="0"/>
          <c:showBubbleSize val="0"/>
        </c:dLbls>
        <c:gapWidth val="150"/>
        <c:overlap val="-25"/>
        <c:axId val="76338879"/>
        <c:axId val="76330719"/>
      </c:barChart>
      <c:catAx>
        <c:axId val="763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330719"/>
        <c:crosses val="autoZero"/>
        <c:auto val="1"/>
        <c:lblAlgn val="ctr"/>
        <c:lblOffset val="100"/>
        <c:noMultiLvlLbl val="0"/>
      </c:catAx>
      <c:valAx>
        <c:axId val="76330719"/>
        <c:scaling>
          <c:orientation val="minMax"/>
        </c:scaling>
        <c:delete val="1"/>
        <c:axPos val="b"/>
        <c:numFmt formatCode="General" sourceLinked="1"/>
        <c:majorTickMark val="none"/>
        <c:minorTickMark val="none"/>
        <c:tickLblPos val="nextTo"/>
        <c:crossAx val="76338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6">
              <a:lumMod val="40000"/>
              <a:lumOff val="60000"/>
            </a:schemeClr>
          </a:gs>
          <a:gs pos="27000">
            <a:schemeClr val="accent6">
              <a:lumMod val="60000"/>
              <a:lumOff val="40000"/>
            </a:schemeClr>
          </a:gs>
          <a:gs pos="90000">
            <a:schemeClr val="accent6">
              <a:lumMod val="73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Children!PivotTable3</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TOTAL</a:t>
            </a:r>
            <a:r>
              <a:rPr lang="en-IN" sz="1200" b="1" baseline="0">
                <a:solidFill>
                  <a:schemeClr val="tx1"/>
                </a:solidFill>
              </a:rPr>
              <a:t> SURVIVING CHILDREN BY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tx2">
              <a:lumMod val="60000"/>
              <a:lumOff val="40000"/>
            </a:schemeClr>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92D050"/>
          </a:solidFill>
          <a:ln w="19050">
            <a:solidFill>
              <a:schemeClr val="lt1"/>
            </a:solidFill>
          </a:ln>
          <a:effectLst/>
        </c:spPr>
      </c:pivotFmt>
      <c:pivotFmt>
        <c:idx val="20"/>
        <c:spPr>
          <a:solidFill>
            <a:schemeClr val="tx2">
              <a:lumMod val="60000"/>
              <a:lumOff val="40000"/>
            </a:schemeClr>
          </a:solidFill>
          <a:ln w="19050">
            <a:solidFill>
              <a:schemeClr val="lt1"/>
            </a:solidFill>
          </a:ln>
          <a:effectLst/>
        </c:spPr>
      </c:pivotFmt>
    </c:pivotFmts>
    <c:plotArea>
      <c:layout/>
      <c:pieChart>
        <c:varyColors val="1"/>
        <c:ser>
          <c:idx val="0"/>
          <c:order val="0"/>
          <c:tx>
            <c:strRef>
              <c:f>'Surviving Children'!$Z$2</c:f>
              <c:strCache>
                <c:ptCount val="1"/>
                <c:pt idx="0">
                  <c:v>Total</c:v>
                </c:pt>
              </c:strCache>
            </c:strRef>
          </c:tx>
          <c:spPr>
            <a:solidFill>
              <a:schemeClr val="tx2">
                <a:lumMod val="60000"/>
                <a:lumOff val="40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60CB-43EB-AF79-CAC6467321B1}"/>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60CB-43EB-AF79-CAC6467321B1}"/>
              </c:ext>
            </c:extLst>
          </c:dPt>
          <c:dLbls>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'Surviving Children'!$Y$3:$Y$4</c:f>
              <c:strCache>
                <c:ptCount val="2"/>
                <c:pt idx="0">
                  <c:v>Rural</c:v>
                </c:pt>
                <c:pt idx="1">
                  <c:v>Urban</c:v>
                </c:pt>
              </c:strCache>
            </c:strRef>
          </c:cat>
          <c:val>
            <c:numRef>
              <c:f>'Surviving Children'!$Z$3:$Z$4</c:f>
              <c:numCache>
                <c:formatCode>General</c:formatCode>
                <c:ptCount val="2"/>
                <c:pt idx="0">
                  <c:v>531524</c:v>
                </c:pt>
                <c:pt idx="1">
                  <c:v>577344</c:v>
                </c:pt>
              </c:numCache>
            </c:numRef>
          </c:val>
          <c:extLst>
            <c:ext xmlns:c16="http://schemas.microsoft.com/office/drawing/2014/chart" uri="{C3380CC4-5D6E-409C-BE32-E72D297353CC}">
              <c16:uniqueId val="{00000004-60CB-43EB-AF79-CAC6467321B1}"/>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48000">
            <a:schemeClr val="bg1">
              <a:lumMod val="65000"/>
            </a:schemeClr>
          </a:gs>
          <a:gs pos="100000">
            <a:schemeClr val="tx1">
              <a:lumMod val="95000"/>
              <a:lumOff val="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DASHBOARD.xlsx]Education!PivotTable14</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OVERALL</a:t>
            </a:r>
            <a:r>
              <a:rPr lang="en-US" sz="1050" b="1" baseline="0">
                <a:solidFill>
                  <a:schemeClr val="tx1"/>
                </a:solidFill>
              </a:rPr>
              <a:t> ATTENDANCE RATE BY GENDER</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AA2B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A2B5"/>
          </a:solidFill>
          <a:ln w="19050">
            <a:solidFill>
              <a:schemeClr val="lt1"/>
            </a:solidFill>
          </a:ln>
          <a:effectLst/>
        </c:spPr>
      </c:pivotFmt>
      <c:pivotFmt>
        <c:idx val="2"/>
        <c:spPr>
          <a:solidFill>
            <a:srgbClr val="00B0F0"/>
          </a:solidFill>
          <a:ln w="19050">
            <a:solidFill>
              <a:schemeClr val="lt1"/>
            </a:solidFill>
          </a:ln>
          <a:effectLst/>
        </c:spPr>
      </c:pivotFmt>
    </c:pivotFmts>
    <c:plotArea>
      <c:layout/>
      <c:doughnutChart>
        <c:varyColors val="1"/>
        <c:ser>
          <c:idx val="0"/>
          <c:order val="0"/>
          <c:tx>
            <c:strRef>
              <c:f>Education!$Q$2</c:f>
              <c:strCache>
                <c:ptCount val="1"/>
                <c:pt idx="0">
                  <c:v>Total</c:v>
                </c:pt>
              </c:strCache>
            </c:strRef>
          </c:tx>
          <c:spPr>
            <a:solidFill>
              <a:srgbClr val="FAA2B5"/>
            </a:solidFill>
          </c:spPr>
          <c:dPt>
            <c:idx val="0"/>
            <c:bubble3D val="0"/>
            <c:spPr>
              <a:solidFill>
                <a:srgbClr val="FAA2B5"/>
              </a:solidFill>
              <a:ln w="19050">
                <a:solidFill>
                  <a:schemeClr val="lt1"/>
                </a:solidFill>
              </a:ln>
              <a:effectLst/>
            </c:spPr>
            <c:extLst>
              <c:ext xmlns:c16="http://schemas.microsoft.com/office/drawing/2014/chart" uri="{C3380CC4-5D6E-409C-BE32-E72D297353CC}">
                <c16:uniqueId val="{00000002-3B3D-4B69-ACA4-352608949EED}"/>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B3D-4B69-ACA4-352608949EED}"/>
              </c:ext>
            </c:extLst>
          </c:dPt>
          <c:cat>
            <c:strRef>
              <c:f>Education!$P$3:$P$5</c:f>
              <c:strCache>
                <c:ptCount val="2"/>
                <c:pt idx="0">
                  <c:v>Female</c:v>
                </c:pt>
                <c:pt idx="1">
                  <c:v>Male</c:v>
                </c:pt>
              </c:strCache>
            </c:strRef>
          </c:cat>
          <c:val>
            <c:numRef>
              <c:f>Education!$Q$3:$Q$5</c:f>
              <c:numCache>
                <c:formatCode>0%</c:formatCode>
                <c:ptCount val="2"/>
                <c:pt idx="0">
                  <c:v>0.21090655715687465</c:v>
                </c:pt>
                <c:pt idx="1">
                  <c:v>0.21710180012837033</c:v>
                </c:pt>
              </c:numCache>
            </c:numRef>
          </c:val>
          <c:extLst>
            <c:ext xmlns:c16="http://schemas.microsoft.com/office/drawing/2014/chart" uri="{C3380CC4-5D6E-409C-BE32-E72D297353CC}">
              <c16:uniqueId val="{00000000-3B3D-4B69-ACA4-352608949EED}"/>
            </c:ext>
          </c:extLst>
        </c:ser>
        <c:dLbls>
          <c:showLegendKey val="0"/>
          <c:showVal val="0"/>
          <c:showCatName val="0"/>
          <c:showSerName val="0"/>
          <c:showPercent val="0"/>
          <c:showBubbleSize val="0"/>
          <c:showLeaderLines val="1"/>
        </c:dLbls>
        <c:firstSliceAng val="166"/>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ATTENDANCE</a:t>
            </a:r>
            <a:r>
              <a:rPr lang="en-IN" baseline="0"/>
              <a:t> RATE BY AGE GROUP</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Education!$T$2</c:f>
              <c:strCache>
                <c:ptCount val="1"/>
                <c:pt idx="0">
                  <c:v>Total</c:v>
                </c:pt>
              </c:strCache>
            </c:strRef>
          </c:tx>
          <c:spPr>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cat>
            <c:strRef>
              <c:f>Education!$S$3:$S$6</c:f>
              <c:strCache>
                <c:ptCount val="3"/>
                <c:pt idx="0">
                  <c:v>0-24</c:v>
                </c:pt>
                <c:pt idx="1">
                  <c:v>25-59</c:v>
                </c:pt>
                <c:pt idx="2">
                  <c:v>60+</c:v>
                </c:pt>
              </c:strCache>
            </c:strRef>
          </c:cat>
          <c:val>
            <c:numRef>
              <c:f>Education!$T$3:$T$6</c:f>
              <c:numCache>
                <c:formatCode>0%</c:formatCode>
                <c:ptCount val="3"/>
                <c:pt idx="0">
                  <c:v>0.60016048543349387</c:v>
                </c:pt>
                <c:pt idx="1">
                  <c:v>2.863174053649711E-2</c:v>
                </c:pt>
                <c:pt idx="2">
                  <c:v>1.3220309957876436E-2</c:v>
                </c:pt>
              </c:numCache>
            </c:numRef>
          </c:val>
          <c:smooth val="0"/>
          <c:extLst>
            <c:ext xmlns:c16="http://schemas.microsoft.com/office/drawing/2014/chart" uri="{C3380CC4-5D6E-409C-BE32-E72D297353CC}">
              <c16:uniqueId val="{00000000-7880-4357-BE00-18724DD48629}"/>
            </c:ext>
          </c:extLst>
        </c:ser>
        <c:dLbls>
          <c:showLegendKey val="0"/>
          <c:showVal val="0"/>
          <c:showCatName val="0"/>
          <c:showSerName val="0"/>
          <c:showPercent val="0"/>
          <c:showBubbleSize val="0"/>
        </c:dLbls>
        <c:marker val="1"/>
        <c:smooth val="0"/>
        <c:axId val="672336591"/>
        <c:axId val="672331311"/>
      </c:lineChart>
      <c:catAx>
        <c:axId val="6723365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331311"/>
        <c:crosses val="autoZero"/>
        <c:auto val="1"/>
        <c:lblAlgn val="ctr"/>
        <c:lblOffset val="100"/>
        <c:noMultiLvlLbl val="0"/>
      </c:catAx>
      <c:valAx>
        <c:axId val="67233131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3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DASHBOARD.xlsx]Education!PivotTable13</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ATTENDANCE RATE BY AREA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8100000" scaled="1"/>
            <a:tileRect/>
          </a:gradFill>
          <a:ln>
            <a:noFill/>
          </a:ln>
          <a:effectLst/>
        </c:spPr>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t="100000" r="100000"/>
            </a:path>
            <a:tileRect l="-100000" b="-10000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t="100000" r="100000"/>
            </a:path>
            <a:tileRect l="-100000" b="-100000"/>
          </a:gradFill>
          <a:ln>
            <a:noFill/>
          </a:ln>
          <a:effectLst/>
        </c:spPr>
      </c:pivotFmt>
      <c:pivotFmt>
        <c:idx val="5"/>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8100000" scaled="1"/>
            <a:tileRect/>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pivotFmt>
      <c:pivotFmt>
        <c:idx val="8"/>
        <c:spPr>
          <a:solidFill>
            <a:schemeClr val="accent2">
              <a:lumMod val="20000"/>
              <a:lumOff val="80000"/>
            </a:schemeClr>
          </a:solidFill>
          <a:ln>
            <a:noFill/>
          </a:ln>
          <a:effectLst/>
        </c:spPr>
      </c:pivotFmt>
    </c:pivotFmts>
    <c:plotArea>
      <c:layout/>
      <c:barChart>
        <c:barDir val="bar"/>
        <c:grouping val="clustered"/>
        <c:varyColors val="0"/>
        <c:ser>
          <c:idx val="0"/>
          <c:order val="0"/>
          <c:tx>
            <c:strRef>
              <c:f>Education!$N$2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1-421F-4957-B940-45FFFF595865}"/>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421F-4957-B940-45FFFF595865}"/>
              </c:ext>
            </c:extLst>
          </c:dPt>
          <c:cat>
            <c:strRef>
              <c:f>Education!$M$3:$M$5</c:f>
              <c:strCache>
                <c:ptCount val="2"/>
                <c:pt idx="0">
                  <c:v>Rural</c:v>
                </c:pt>
                <c:pt idx="1">
                  <c:v>Urban</c:v>
                </c:pt>
              </c:strCache>
            </c:strRef>
          </c:cat>
          <c:val>
            <c:numRef>
              <c:f>Education!$N$3:$N$5</c:f>
              <c:numCache>
                <c:formatCode>0%</c:formatCode>
                <c:ptCount val="2"/>
                <c:pt idx="0">
                  <c:v>0.20444580805260934</c:v>
                </c:pt>
                <c:pt idx="1">
                  <c:v>0.22356254923263555</c:v>
                </c:pt>
              </c:numCache>
            </c:numRef>
          </c:val>
          <c:extLst>
            <c:ext xmlns:c16="http://schemas.microsoft.com/office/drawing/2014/chart" uri="{C3380CC4-5D6E-409C-BE32-E72D297353CC}">
              <c16:uniqueId val="{00000004-421F-4957-B940-45FFFF595865}"/>
            </c:ext>
          </c:extLst>
        </c:ser>
        <c:dLbls>
          <c:showLegendKey val="0"/>
          <c:showVal val="0"/>
          <c:showCatName val="0"/>
          <c:showSerName val="0"/>
          <c:showPercent val="0"/>
          <c:showBubbleSize val="0"/>
        </c:dLbls>
        <c:gapWidth val="75"/>
        <c:overlap val="-25"/>
        <c:axId val="1550130255"/>
        <c:axId val="1550140335"/>
      </c:barChart>
      <c:catAx>
        <c:axId val="15501302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550140335"/>
        <c:crosses val="autoZero"/>
        <c:auto val="1"/>
        <c:lblAlgn val="ctr"/>
        <c:lblOffset val="100"/>
        <c:noMultiLvlLbl val="0"/>
      </c:catAx>
      <c:valAx>
        <c:axId val="1550140335"/>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3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DASHBOARD.xlsx]Education!PivotTable12</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EDUCATION</a:t>
            </a:r>
            <a:r>
              <a:rPr lang="en-IN" b="1" baseline="0">
                <a:solidFill>
                  <a:schemeClr val="tx1"/>
                </a:solidFill>
              </a:rPr>
              <a:t> ATTENDANCE BY GENDER AND AREA</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Education!$J$2:$J$3</c:f>
              <c:strCache>
                <c:ptCount val="1"/>
                <c:pt idx="0">
                  <c:v>Female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Education!$I$4:$I$5</c:f>
              <c:strCache>
                <c:ptCount val="2"/>
                <c:pt idx="0">
                  <c:v>Rural</c:v>
                </c:pt>
                <c:pt idx="1">
                  <c:v>Urban</c:v>
                </c:pt>
              </c:strCache>
            </c:strRef>
          </c:cat>
          <c:val>
            <c:numRef>
              <c:f>Education!$J$4:$J$5</c:f>
              <c:numCache>
                <c:formatCode>0%</c:formatCode>
                <c:ptCount val="2"/>
                <c:pt idx="0">
                  <c:v>0.59947874198752638</c:v>
                </c:pt>
                <c:pt idx="1">
                  <c:v>0.66596060095372145</c:v>
                </c:pt>
              </c:numCache>
            </c:numRef>
          </c:val>
          <c:extLst>
            <c:ext xmlns:c16="http://schemas.microsoft.com/office/drawing/2014/chart" uri="{C3380CC4-5D6E-409C-BE32-E72D297353CC}">
              <c16:uniqueId val="{00000000-54BA-4C09-978D-4F0EADEB8F72}"/>
            </c:ext>
          </c:extLst>
        </c:ser>
        <c:ser>
          <c:idx val="1"/>
          <c:order val="1"/>
          <c:tx>
            <c:strRef>
              <c:f>Education!$K$2:$K$3</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Education!$I$4:$I$5</c:f>
              <c:strCache>
                <c:ptCount val="2"/>
                <c:pt idx="0">
                  <c:v>Rural</c:v>
                </c:pt>
                <c:pt idx="1">
                  <c:v>Urban</c:v>
                </c:pt>
              </c:strCache>
            </c:strRef>
          </c:cat>
          <c:val>
            <c:numRef>
              <c:f>Education!$K$4:$K$5</c:f>
              <c:numCache>
                <c:formatCode>0%</c:formatCode>
                <c:ptCount val="2"/>
                <c:pt idx="0">
                  <c:v>0.62719610632812983</c:v>
                </c:pt>
                <c:pt idx="1">
                  <c:v>0.67541469444209201</c:v>
                </c:pt>
              </c:numCache>
            </c:numRef>
          </c:val>
          <c:extLst>
            <c:ext xmlns:c16="http://schemas.microsoft.com/office/drawing/2014/chart" uri="{C3380CC4-5D6E-409C-BE32-E72D297353CC}">
              <c16:uniqueId val="{00000001-54BA-4C09-978D-4F0EADEB8F72}"/>
            </c:ext>
          </c:extLst>
        </c:ser>
        <c:dLbls>
          <c:showLegendKey val="0"/>
          <c:showVal val="1"/>
          <c:showCatName val="0"/>
          <c:showSerName val="0"/>
          <c:showPercent val="0"/>
          <c:showBubbleSize val="0"/>
        </c:dLbls>
        <c:gapWidth val="150"/>
        <c:overlap val="-25"/>
        <c:axId val="1550118735"/>
        <c:axId val="1550138415"/>
      </c:barChart>
      <c:catAx>
        <c:axId val="155011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0138415"/>
        <c:crosses val="autoZero"/>
        <c:auto val="1"/>
        <c:lblAlgn val="ctr"/>
        <c:lblOffset val="100"/>
        <c:noMultiLvlLbl val="0"/>
      </c:catAx>
      <c:valAx>
        <c:axId val="1550138415"/>
        <c:scaling>
          <c:orientation val="minMax"/>
        </c:scaling>
        <c:delete val="1"/>
        <c:axPos val="l"/>
        <c:numFmt formatCode="0%" sourceLinked="1"/>
        <c:majorTickMark val="none"/>
        <c:minorTickMark val="none"/>
        <c:tickLblPos val="nextTo"/>
        <c:crossAx val="155011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78000">
            <a:schemeClr val="accent4">
              <a:lumMod val="75000"/>
            </a:schemeClr>
          </a:gs>
          <a:gs pos="0">
            <a:schemeClr val="accent4">
              <a:lumMod val="60000"/>
              <a:lumOff val="40000"/>
            </a:schemeClr>
          </a:gs>
          <a:gs pos="100000">
            <a:schemeClr val="accent4">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Status!PivotTable20</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RELIGION</a:t>
            </a:r>
            <a:r>
              <a:rPr lang="en-IN" b="1" baseline="0">
                <a:solidFill>
                  <a:schemeClr val="tx1"/>
                </a:solidFill>
              </a:rPr>
              <a:t> WISE POPULATION TOTAL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rgbClr val="FFFF00"/>
          </a:solidFill>
          <a:ln>
            <a:noFill/>
          </a:ln>
          <a:effectLst/>
        </c:spPr>
      </c:pivotFmt>
    </c:pivotFmts>
    <c:plotArea>
      <c:layout/>
      <c:barChart>
        <c:barDir val="bar"/>
        <c:grouping val="stacked"/>
        <c:varyColors val="0"/>
        <c:ser>
          <c:idx val="0"/>
          <c:order val="0"/>
          <c:tx>
            <c:strRef>
              <c:f>'Marital Status'!$U$15</c:f>
              <c:strCache>
                <c:ptCount val="1"/>
                <c:pt idx="0">
                  <c:v>Sum of Jain Total Population</c:v>
                </c:pt>
              </c:strCache>
            </c:strRef>
          </c:tx>
          <c:spPr>
            <a:solidFill>
              <a:schemeClr val="accent1"/>
            </a:solidFill>
            <a:ln>
              <a:noFill/>
            </a:ln>
            <a:effectLst/>
          </c:spPr>
          <c:invertIfNegative val="0"/>
          <c:cat>
            <c:strRef>
              <c:f>'Marital Status'!$T$16:$T$17</c:f>
              <c:strCache>
                <c:ptCount val="2"/>
                <c:pt idx="0">
                  <c:v>Rural</c:v>
                </c:pt>
                <c:pt idx="1">
                  <c:v>Urban</c:v>
                </c:pt>
              </c:strCache>
            </c:strRef>
          </c:cat>
          <c:val>
            <c:numRef>
              <c:f>'Marital Status'!$U$16:$U$17</c:f>
              <c:numCache>
                <c:formatCode>General</c:formatCode>
                <c:ptCount val="2"/>
                <c:pt idx="0">
                  <c:v>391</c:v>
                </c:pt>
                <c:pt idx="1">
                  <c:v>4726</c:v>
                </c:pt>
              </c:numCache>
            </c:numRef>
          </c:val>
          <c:extLst>
            <c:ext xmlns:c16="http://schemas.microsoft.com/office/drawing/2014/chart" uri="{C3380CC4-5D6E-409C-BE32-E72D297353CC}">
              <c16:uniqueId val="{00000000-4714-4556-A8AB-23A0D42DA824}"/>
            </c:ext>
          </c:extLst>
        </c:ser>
        <c:ser>
          <c:idx val="1"/>
          <c:order val="1"/>
          <c:tx>
            <c:strRef>
              <c:f>'Marital Status'!$V$15</c:f>
              <c:strCache>
                <c:ptCount val="1"/>
                <c:pt idx="0">
                  <c:v>Sum of Other Total Population</c:v>
                </c:pt>
              </c:strCache>
            </c:strRef>
          </c:tx>
          <c:spPr>
            <a:solidFill>
              <a:schemeClr val="accent2"/>
            </a:solidFill>
            <a:ln>
              <a:noFill/>
            </a:ln>
            <a:effectLst/>
          </c:spPr>
          <c:invertIfNegative val="0"/>
          <c:cat>
            <c:strRef>
              <c:f>'Marital Status'!$T$16:$T$17</c:f>
              <c:strCache>
                <c:ptCount val="2"/>
                <c:pt idx="0">
                  <c:v>Rural</c:v>
                </c:pt>
                <c:pt idx="1">
                  <c:v>Urban</c:v>
                </c:pt>
              </c:strCache>
            </c:strRef>
          </c:cat>
          <c:val>
            <c:numRef>
              <c:f>'Marital Status'!$V$16:$V$17</c:f>
              <c:numCache>
                <c:formatCode>General</c:formatCode>
                <c:ptCount val="2"/>
                <c:pt idx="0">
                  <c:v>92</c:v>
                </c:pt>
                <c:pt idx="1">
                  <c:v>125</c:v>
                </c:pt>
              </c:numCache>
            </c:numRef>
          </c:val>
          <c:extLst>
            <c:ext xmlns:c16="http://schemas.microsoft.com/office/drawing/2014/chart" uri="{C3380CC4-5D6E-409C-BE32-E72D297353CC}">
              <c16:uniqueId val="{00000001-4714-4556-A8AB-23A0D42DA824}"/>
            </c:ext>
          </c:extLst>
        </c:ser>
        <c:ser>
          <c:idx val="2"/>
          <c:order val="2"/>
          <c:tx>
            <c:strRef>
              <c:f>'Marital Status'!$W$15</c:f>
              <c:strCache>
                <c:ptCount val="1"/>
                <c:pt idx="0">
                  <c:v>Sum of Total Hindu Population</c:v>
                </c:pt>
              </c:strCache>
            </c:strRef>
          </c:tx>
          <c:spPr>
            <a:solidFill>
              <a:schemeClr val="accent2">
                <a:lumMod val="60000"/>
                <a:lumOff val="40000"/>
              </a:schemeClr>
            </a:solidFill>
            <a:ln>
              <a:noFill/>
            </a:ln>
            <a:effectLst/>
          </c:spPr>
          <c:invertIfNegative val="0"/>
          <c:cat>
            <c:strRef>
              <c:f>'Marital Status'!$T$16:$T$17</c:f>
              <c:strCache>
                <c:ptCount val="2"/>
                <c:pt idx="0">
                  <c:v>Rural</c:v>
                </c:pt>
                <c:pt idx="1">
                  <c:v>Urban</c:v>
                </c:pt>
              </c:strCache>
            </c:strRef>
          </c:cat>
          <c:val>
            <c:numRef>
              <c:f>'Marital Status'!$W$16:$W$17</c:f>
              <c:numCache>
                <c:formatCode>General</c:formatCode>
                <c:ptCount val="2"/>
                <c:pt idx="0">
                  <c:v>633762</c:v>
                </c:pt>
                <c:pt idx="1">
                  <c:v>791154</c:v>
                </c:pt>
              </c:numCache>
            </c:numRef>
          </c:val>
          <c:extLst>
            <c:ext xmlns:c16="http://schemas.microsoft.com/office/drawing/2014/chart" uri="{C3380CC4-5D6E-409C-BE32-E72D297353CC}">
              <c16:uniqueId val="{00000002-4714-4556-A8AB-23A0D42DA824}"/>
            </c:ext>
          </c:extLst>
        </c:ser>
        <c:ser>
          <c:idx val="3"/>
          <c:order val="3"/>
          <c:tx>
            <c:strRef>
              <c:f>'Marital Status'!$X$15</c:f>
              <c:strCache>
                <c:ptCount val="1"/>
                <c:pt idx="0">
                  <c:v>Sum of Buddhist Total Population</c:v>
                </c:pt>
              </c:strCache>
            </c:strRef>
          </c:tx>
          <c:spPr>
            <a:solidFill>
              <a:schemeClr val="accent2">
                <a:lumMod val="75000"/>
              </a:schemeClr>
            </a:solidFill>
            <a:ln>
              <a:noFill/>
            </a:ln>
            <a:effectLst/>
          </c:spPr>
          <c:invertIfNegative val="0"/>
          <c:cat>
            <c:strRef>
              <c:f>'Marital Status'!$T$16:$T$17</c:f>
              <c:strCache>
                <c:ptCount val="2"/>
                <c:pt idx="0">
                  <c:v>Rural</c:v>
                </c:pt>
                <c:pt idx="1">
                  <c:v>Urban</c:v>
                </c:pt>
              </c:strCache>
            </c:strRef>
          </c:cat>
          <c:val>
            <c:numRef>
              <c:f>'Marital Status'!$X$16:$X$17</c:f>
              <c:numCache>
                <c:formatCode>General</c:formatCode>
                <c:ptCount val="2"/>
                <c:pt idx="0">
                  <c:v>5823</c:v>
                </c:pt>
                <c:pt idx="1">
                  <c:v>5955</c:v>
                </c:pt>
              </c:numCache>
            </c:numRef>
          </c:val>
          <c:extLst>
            <c:ext xmlns:c16="http://schemas.microsoft.com/office/drawing/2014/chart" uri="{C3380CC4-5D6E-409C-BE32-E72D297353CC}">
              <c16:uniqueId val="{00000003-4714-4556-A8AB-23A0D42DA824}"/>
            </c:ext>
          </c:extLst>
        </c:ser>
        <c:ser>
          <c:idx val="4"/>
          <c:order val="4"/>
          <c:tx>
            <c:strRef>
              <c:f>'Marital Status'!$Y$15</c:f>
              <c:strCache>
                <c:ptCount val="1"/>
                <c:pt idx="0">
                  <c:v>Sum of Sikh Total Population</c:v>
                </c:pt>
              </c:strCache>
            </c:strRef>
          </c:tx>
          <c:spPr>
            <a:solidFill>
              <a:schemeClr val="accent4">
                <a:lumMod val="75000"/>
              </a:schemeClr>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20A3-447A-884A-7C0F5C7CDA8E}"/>
              </c:ext>
            </c:extLst>
          </c:dPt>
          <c:dPt>
            <c:idx val="1"/>
            <c:invertIfNegative val="0"/>
            <c:bubble3D val="0"/>
            <c:spPr>
              <a:solidFill>
                <a:srgbClr val="FFFF00"/>
              </a:solidFill>
              <a:ln>
                <a:noFill/>
              </a:ln>
              <a:effectLst/>
            </c:spPr>
            <c:extLst>
              <c:ext xmlns:c16="http://schemas.microsoft.com/office/drawing/2014/chart" uri="{C3380CC4-5D6E-409C-BE32-E72D297353CC}">
                <c16:uniqueId val="{00000002-20A3-447A-884A-7C0F5C7CDA8E}"/>
              </c:ext>
            </c:extLst>
          </c:dPt>
          <c:cat>
            <c:strRef>
              <c:f>'Marital Status'!$T$16:$T$17</c:f>
              <c:strCache>
                <c:ptCount val="2"/>
                <c:pt idx="0">
                  <c:v>Rural</c:v>
                </c:pt>
                <c:pt idx="1">
                  <c:v>Urban</c:v>
                </c:pt>
              </c:strCache>
            </c:strRef>
          </c:cat>
          <c:val>
            <c:numRef>
              <c:f>'Marital Status'!$Y$16:$Y$17</c:f>
              <c:numCache>
                <c:formatCode>General</c:formatCode>
                <c:ptCount val="2"/>
                <c:pt idx="0">
                  <c:v>9486</c:v>
                </c:pt>
                <c:pt idx="1">
                  <c:v>26968</c:v>
                </c:pt>
              </c:numCache>
            </c:numRef>
          </c:val>
          <c:extLst>
            <c:ext xmlns:c16="http://schemas.microsoft.com/office/drawing/2014/chart" uri="{C3380CC4-5D6E-409C-BE32-E72D297353CC}">
              <c16:uniqueId val="{00000004-4714-4556-A8AB-23A0D42DA824}"/>
            </c:ext>
          </c:extLst>
        </c:ser>
        <c:ser>
          <c:idx val="5"/>
          <c:order val="5"/>
          <c:tx>
            <c:strRef>
              <c:f>'Marital Status'!$Z$15</c:f>
              <c:strCache>
                <c:ptCount val="1"/>
                <c:pt idx="0">
                  <c:v>Sum of Total Muslim Population</c:v>
                </c:pt>
              </c:strCache>
            </c:strRef>
          </c:tx>
          <c:spPr>
            <a:solidFill>
              <a:schemeClr val="accent6"/>
            </a:solidFill>
            <a:ln>
              <a:noFill/>
            </a:ln>
            <a:effectLst/>
          </c:spPr>
          <c:invertIfNegative val="0"/>
          <c:cat>
            <c:strRef>
              <c:f>'Marital Status'!$T$16:$T$17</c:f>
              <c:strCache>
                <c:ptCount val="2"/>
                <c:pt idx="0">
                  <c:v>Rural</c:v>
                </c:pt>
                <c:pt idx="1">
                  <c:v>Urban</c:v>
                </c:pt>
              </c:strCache>
            </c:strRef>
          </c:cat>
          <c:val>
            <c:numRef>
              <c:f>'Marital Status'!$Z$16:$Z$17</c:f>
              <c:numCache>
                <c:formatCode>General</c:formatCode>
                <c:ptCount val="2"/>
                <c:pt idx="0">
                  <c:v>100092</c:v>
                </c:pt>
                <c:pt idx="1">
                  <c:v>101965</c:v>
                </c:pt>
              </c:numCache>
            </c:numRef>
          </c:val>
          <c:extLst>
            <c:ext xmlns:c16="http://schemas.microsoft.com/office/drawing/2014/chart" uri="{C3380CC4-5D6E-409C-BE32-E72D297353CC}">
              <c16:uniqueId val="{00000005-4714-4556-A8AB-23A0D42DA824}"/>
            </c:ext>
          </c:extLst>
        </c:ser>
        <c:ser>
          <c:idx val="6"/>
          <c:order val="6"/>
          <c:tx>
            <c:strRef>
              <c:f>'Marital Status'!$AA$15</c:f>
              <c:strCache>
                <c:ptCount val="1"/>
                <c:pt idx="0">
                  <c:v>Sum of Christian Total Population</c:v>
                </c:pt>
              </c:strCache>
            </c:strRef>
          </c:tx>
          <c:spPr>
            <a:solidFill>
              <a:srgbClr val="FF0000"/>
            </a:solidFill>
            <a:ln>
              <a:noFill/>
            </a:ln>
            <a:effectLst/>
          </c:spPr>
          <c:invertIfNegative val="0"/>
          <c:cat>
            <c:strRef>
              <c:f>'Marital Status'!$T$16:$T$17</c:f>
              <c:strCache>
                <c:ptCount val="2"/>
                <c:pt idx="0">
                  <c:v>Rural</c:v>
                </c:pt>
                <c:pt idx="1">
                  <c:v>Urban</c:v>
                </c:pt>
              </c:strCache>
            </c:strRef>
          </c:cat>
          <c:val>
            <c:numRef>
              <c:f>'Marital Status'!$AA$16:$AA$17</c:f>
              <c:numCache>
                <c:formatCode>General</c:formatCode>
                <c:ptCount val="2"/>
                <c:pt idx="0">
                  <c:v>4167</c:v>
                </c:pt>
                <c:pt idx="1">
                  <c:v>9249</c:v>
                </c:pt>
              </c:numCache>
            </c:numRef>
          </c:val>
          <c:extLst>
            <c:ext xmlns:c16="http://schemas.microsoft.com/office/drawing/2014/chart" uri="{C3380CC4-5D6E-409C-BE32-E72D297353CC}">
              <c16:uniqueId val="{00000006-4714-4556-A8AB-23A0D42DA824}"/>
            </c:ext>
          </c:extLst>
        </c:ser>
        <c:dLbls>
          <c:showLegendKey val="0"/>
          <c:showVal val="0"/>
          <c:showCatName val="0"/>
          <c:showSerName val="0"/>
          <c:showPercent val="0"/>
          <c:showBubbleSize val="0"/>
        </c:dLbls>
        <c:gapWidth val="55"/>
        <c:overlap val="100"/>
        <c:axId val="984601039"/>
        <c:axId val="984601519"/>
      </c:barChart>
      <c:catAx>
        <c:axId val="98460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4601519"/>
        <c:crosses val="autoZero"/>
        <c:auto val="1"/>
        <c:lblAlgn val="ctr"/>
        <c:lblOffset val="100"/>
        <c:noMultiLvlLbl val="0"/>
      </c:catAx>
      <c:valAx>
        <c:axId val="98460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46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6">
              <a:lumMod val="40000"/>
              <a:lumOff val="60000"/>
            </a:schemeClr>
          </a:gs>
          <a:gs pos="37000">
            <a:schemeClr val="accent6">
              <a:lumMod val="75000"/>
            </a:schemeClr>
          </a:gs>
          <a:gs pos="100000">
            <a:schemeClr val="accent6">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DIVORCED</a:t>
            </a:r>
            <a:r>
              <a:rPr lang="en-US" sz="1200" b="1" baseline="0">
                <a:solidFill>
                  <a:schemeClr val="tx1"/>
                </a:solidFill>
              </a:rPr>
              <a:t> POPULATION BY AREA</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tx>
            <c:strRef>
              <c:f>'Marital Status'!$N$15</c:f>
              <c:strCache>
                <c:ptCount val="1"/>
                <c:pt idx="0">
                  <c:v>Divorced</c:v>
                </c:pt>
              </c:strCache>
            </c:strRef>
          </c:tx>
          <c:spPr>
            <a:solidFill>
              <a:srgbClr val="FF9966"/>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080F-4E37-8F7F-99D8E5BA031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2-080F-4E37-8F7F-99D8E5BA031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Status'!$M$16:$M$17</c:f>
              <c:strCache>
                <c:ptCount val="2"/>
                <c:pt idx="0">
                  <c:v>Rural</c:v>
                </c:pt>
                <c:pt idx="1">
                  <c:v>Urban</c:v>
                </c:pt>
              </c:strCache>
            </c:strRef>
          </c:cat>
          <c:val>
            <c:numRef>
              <c:f>'Marital Status'!$N$16:$N$17</c:f>
              <c:numCache>
                <c:formatCode>General</c:formatCode>
                <c:ptCount val="2"/>
                <c:pt idx="0">
                  <c:v>730</c:v>
                </c:pt>
                <c:pt idx="1">
                  <c:v>1098</c:v>
                </c:pt>
              </c:numCache>
            </c:numRef>
          </c:val>
          <c:extLst>
            <c:ext xmlns:c16="http://schemas.microsoft.com/office/drawing/2014/chart" uri="{C3380CC4-5D6E-409C-BE32-E72D297353CC}">
              <c16:uniqueId val="{00000000-080F-4E37-8F7F-99D8E5BA031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Status!PivotTable18</c:name>
    <c:fmtId val="1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MARITAL</a:t>
            </a:r>
            <a:r>
              <a:rPr lang="en-IN" sz="1200" b="1" baseline="0">
                <a:solidFill>
                  <a:schemeClr val="tx1"/>
                </a:solidFill>
              </a:rPr>
              <a:t> STATUS BREAKDOWN BY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'Marital Status'!$B$14:$B$15</c:f>
              <c:strCache>
                <c:ptCount val="1"/>
                <c:pt idx="0">
                  <c:v>Rural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Status'!$A$16:$A$20</c:f>
              <c:strCache>
                <c:ptCount val="5"/>
                <c:pt idx="0">
                  <c:v>Divorced</c:v>
                </c:pt>
                <c:pt idx="1">
                  <c:v>Married</c:v>
                </c:pt>
                <c:pt idx="2">
                  <c:v>Never married</c:v>
                </c:pt>
                <c:pt idx="3">
                  <c:v>Separated</c:v>
                </c:pt>
                <c:pt idx="4">
                  <c:v>Widowed</c:v>
                </c:pt>
              </c:strCache>
            </c:strRef>
          </c:cat>
          <c:val>
            <c:numRef>
              <c:f>'Marital Status'!$B$16:$B$20</c:f>
              <c:numCache>
                <c:formatCode>General</c:formatCode>
                <c:ptCount val="5"/>
                <c:pt idx="0">
                  <c:v>730</c:v>
                </c:pt>
                <c:pt idx="1">
                  <c:v>339536</c:v>
                </c:pt>
                <c:pt idx="2">
                  <c:v>381789</c:v>
                </c:pt>
                <c:pt idx="3">
                  <c:v>1533</c:v>
                </c:pt>
                <c:pt idx="4">
                  <c:v>31165</c:v>
                </c:pt>
              </c:numCache>
            </c:numRef>
          </c:val>
          <c:extLst>
            <c:ext xmlns:c16="http://schemas.microsoft.com/office/drawing/2014/chart" uri="{C3380CC4-5D6E-409C-BE32-E72D297353CC}">
              <c16:uniqueId val="{00000000-0014-4655-99CC-7712912458EE}"/>
            </c:ext>
          </c:extLst>
        </c:ser>
        <c:ser>
          <c:idx val="1"/>
          <c:order val="1"/>
          <c:tx>
            <c:strRef>
              <c:f>'Marital Status'!$C$14:$C$15</c:f>
              <c:strCache>
                <c:ptCount val="1"/>
                <c:pt idx="0">
                  <c:v>Urban</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Status'!$A$16:$A$20</c:f>
              <c:strCache>
                <c:ptCount val="5"/>
                <c:pt idx="0">
                  <c:v>Divorced</c:v>
                </c:pt>
                <c:pt idx="1">
                  <c:v>Married</c:v>
                </c:pt>
                <c:pt idx="2">
                  <c:v>Never married</c:v>
                </c:pt>
                <c:pt idx="3">
                  <c:v>Separated</c:v>
                </c:pt>
                <c:pt idx="4">
                  <c:v>Widowed</c:v>
                </c:pt>
              </c:strCache>
            </c:strRef>
          </c:cat>
          <c:val>
            <c:numRef>
              <c:f>'Marital Status'!$C$16:$C$20</c:f>
              <c:numCache>
                <c:formatCode>General</c:formatCode>
                <c:ptCount val="5"/>
                <c:pt idx="0">
                  <c:v>1098</c:v>
                </c:pt>
                <c:pt idx="1">
                  <c:v>457260</c:v>
                </c:pt>
                <c:pt idx="2">
                  <c:v>443349</c:v>
                </c:pt>
                <c:pt idx="3">
                  <c:v>1824</c:v>
                </c:pt>
                <c:pt idx="4">
                  <c:v>38410</c:v>
                </c:pt>
              </c:numCache>
            </c:numRef>
          </c:val>
          <c:extLst>
            <c:ext xmlns:c16="http://schemas.microsoft.com/office/drawing/2014/chart" uri="{C3380CC4-5D6E-409C-BE32-E72D297353CC}">
              <c16:uniqueId val="{00000001-0014-4655-99CC-7712912458EE}"/>
            </c:ext>
          </c:extLst>
        </c:ser>
        <c:dLbls>
          <c:showLegendKey val="0"/>
          <c:showVal val="1"/>
          <c:showCatName val="0"/>
          <c:showSerName val="0"/>
          <c:showPercent val="0"/>
          <c:showBubbleSize val="0"/>
        </c:dLbls>
        <c:gapWidth val="95"/>
        <c:overlap val="100"/>
        <c:axId val="702442463"/>
        <c:axId val="702444863"/>
      </c:barChart>
      <c:catAx>
        <c:axId val="70244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2444863"/>
        <c:crosses val="autoZero"/>
        <c:auto val="1"/>
        <c:lblAlgn val="ctr"/>
        <c:lblOffset val="100"/>
        <c:noMultiLvlLbl val="0"/>
      </c:catAx>
      <c:valAx>
        <c:axId val="702444863"/>
        <c:scaling>
          <c:orientation val="minMax"/>
        </c:scaling>
        <c:delete val="1"/>
        <c:axPos val="l"/>
        <c:numFmt formatCode="0%" sourceLinked="1"/>
        <c:majorTickMark val="none"/>
        <c:minorTickMark val="none"/>
        <c:tickLblPos val="nextTo"/>
        <c:crossAx val="702442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0000"/>
              <a:lumOff val="40000"/>
            </a:schemeClr>
          </a:gs>
          <a:gs pos="67000">
            <a:schemeClr val="accent2">
              <a:lumMod val="75000"/>
            </a:schemeClr>
          </a:gs>
          <a:gs pos="100000">
            <a:schemeClr val="accent2">
              <a:lumMod val="50000"/>
              <a:alpha val="96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Status!PivotTable22</c:name>
    <c:fmtId val="1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TOTAL</a:t>
            </a:r>
            <a:r>
              <a:rPr lang="en-IN" sz="1200" b="1" baseline="0">
                <a:solidFill>
                  <a:schemeClr val="tx1"/>
                </a:solidFill>
              </a:rPr>
              <a:t> POPULATION BY MARITAL STATUS AND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'Marital Status'!$Q$15:$Q$16</c:f>
              <c:strCache>
                <c:ptCount val="1"/>
                <c:pt idx="0">
                  <c:v>Rural</c:v>
                </c:pt>
              </c:strCache>
            </c:strRef>
          </c:tx>
          <c:spPr>
            <a:ln w="28575" cap="rnd">
              <a:solidFill>
                <a:schemeClr val="accent1"/>
              </a:solidFill>
              <a:round/>
            </a:ln>
            <a:effectLst/>
          </c:spPr>
          <c:marker>
            <c:symbol val="none"/>
          </c:marker>
          <c:cat>
            <c:strRef>
              <c:f>'Marital Status'!$P$17:$P$21</c:f>
              <c:strCache>
                <c:ptCount val="5"/>
                <c:pt idx="0">
                  <c:v>Divorced</c:v>
                </c:pt>
                <c:pt idx="1">
                  <c:v>Married</c:v>
                </c:pt>
                <c:pt idx="2">
                  <c:v>Never married</c:v>
                </c:pt>
                <c:pt idx="3">
                  <c:v>Separated</c:v>
                </c:pt>
                <c:pt idx="4">
                  <c:v>Widowed</c:v>
                </c:pt>
              </c:strCache>
            </c:strRef>
          </c:cat>
          <c:val>
            <c:numRef>
              <c:f>'Marital Status'!$Q$17:$Q$21</c:f>
              <c:numCache>
                <c:formatCode>General</c:formatCode>
                <c:ptCount val="5"/>
                <c:pt idx="0">
                  <c:v>730</c:v>
                </c:pt>
                <c:pt idx="1">
                  <c:v>339536</c:v>
                </c:pt>
                <c:pt idx="2">
                  <c:v>381789</c:v>
                </c:pt>
                <c:pt idx="3">
                  <c:v>1533</c:v>
                </c:pt>
                <c:pt idx="4">
                  <c:v>31165</c:v>
                </c:pt>
              </c:numCache>
            </c:numRef>
          </c:val>
          <c:smooth val="0"/>
          <c:extLst>
            <c:ext xmlns:c16="http://schemas.microsoft.com/office/drawing/2014/chart" uri="{C3380CC4-5D6E-409C-BE32-E72D297353CC}">
              <c16:uniqueId val="{00000000-6B61-4532-ACFD-BA53063F011E}"/>
            </c:ext>
          </c:extLst>
        </c:ser>
        <c:ser>
          <c:idx val="1"/>
          <c:order val="1"/>
          <c:tx>
            <c:strRef>
              <c:f>'Marital Status'!$R$15:$R$16</c:f>
              <c:strCache>
                <c:ptCount val="1"/>
                <c:pt idx="0">
                  <c:v>Urban</c:v>
                </c:pt>
              </c:strCache>
            </c:strRef>
          </c:tx>
          <c:spPr>
            <a:ln w="28575" cap="rnd">
              <a:solidFill>
                <a:schemeClr val="accent2"/>
              </a:solidFill>
              <a:round/>
            </a:ln>
            <a:effectLst/>
          </c:spPr>
          <c:marker>
            <c:symbol val="none"/>
          </c:marker>
          <c:cat>
            <c:strRef>
              <c:f>'Marital Status'!$P$17:$P$21</c:f>
              <c:strCache>
                <c:ptCount val="5"/>
                <c:pt idx="0">
                  <c:v>Divorced</c:v>
                </c:pt>
                <c:pt idx="1">
                  <c:v>Married</c:v>
                </c:pt>
                <c:pt idx="2">
                  <c:v>Never married</c:v>
                </c:pt>
                <c:pt idx="3">
                  <c:v>Separated</c:v>
                </c:pt>
                <c:pt idx="4">
                  <c:v>Widowed</c:v>
                </c:pt>
              </c:strCache>
            </c:strRef>
          </c:cat>
          <c:val>
            <c:numRef>
              <c:f>'Marital Status'!$R$17:$R$21</c:f>
              <c:numCache>
                <c:formatCode>General</c:formatCode>
                <c:ptCount val="5"/>
                <c:pt idx="0">
                  <c:v>1098</c:v>
                </c:pt>
                <c:pt idx="1">
                  <c:v>457260</c:v>
                </c:pt>
                <c:pt idx="2">
                  <c:v>443349</c:v>
                </c:pt>
                <c:pt idx="3">
                  <c:v>1824</c:v>
                </c:pt>
                <c:pt idx="4">
                  <c:v>38410</c:v>
                </c:pt>
              </c:numCache>
            </c:numRef>
          </c:val>
          <c:smooth val="0"/>
          <c:extLst>
            <c:ext xmlns:c16="http://schemas.microsoft.com/office/drawing/2014/chart" uri="{C3380CC4-5D6E-409C-BE32-E72D297353CC}">
              <c16:uniqueId val="{00000001-6B61-4532-ACFD-BA53063F011E}"/>
            </c:ext>
          </c:extLst>
        </c:ser>
        <c:dLbls>
          <c:showLegendKey val="0"/>
          <c:showVal val="0"/>
          <c:showCatName val="0"/>
          <c:showSerName val="0"/>
          <c:showPercent val="0"/>
          <c:showBubbleSize val="0"/>
        </c:dLbls>
        <c:smooth val="0"/>
        <c:axId val="623071247"/>
        <c:axId val="623080847"/>
      </c:lineChart>
      <c:catAx>
        <c:axId val="6230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3080847"/>
        <c:crosses val="autoZero"/>
        <c:auto val="1"/>
        <c:lblAlgn val="ctr"/>
        <c:lblOffset val="100"/>
        <c:noMultiLvlLbl val="0"/>
      </c:catAx>
      <c:valAx>
        <c:axId val="6230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3071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DASHBOARD.xlsx]Population!PivotTable5</c:name>
    <c:fmtId val="4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solidFill>
                  <a:schemeClr val="tx2"/>
                </a:solidFill>
                <a:latin typeface="+mn-lt"/>
              </a:rPr>
              <a:t>MALE</a:t>
            </a:r>
            <a:r>
              <a:rPr lang="en-IN" sz="1400" baseline="0">
                <a:solidFill>
                  <a:schemeClr val="tx2"/>
                </a:solidFill>
                <a:latin typeface="+mn-lt"/>
              </a:rPr>
              <a:t> AND FEMALE DISTRIBUTION WRT AGE</a:t>
            </a:r>
            <a:endParaRPr lang="en-IN" sz="1400">
              <a:solidFill>
                <a:schemeClr val="tx2"/>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81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100000" t="100000"/>
            </a:path>
            <a:tileRect r="-100000" b="-10000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81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3"/>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100000" t="100000"/>
            </a:path>
            <a:tileRect r="-100000" b="-10000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4"/>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5"/>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6"/>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Population!$I$2</c:f>
              <c:strCache>
                <c:ptCount val="1"/>
                <c:pt idx="0">
                  <c:v>Sum of Female Population</c:v>
                </c:pt>
              </c:strCache>
            </c:strRef>
          </c:tx>
          <c:spPr>
            <a:solidFill>
              <a:schemeClr val="accent1">
                <a:lumMod val="40000"/>
                <a:lumOff val="60000"/>
              </a:schemeClr>
            </a:solidFill>
            <a:ln>
              <a:noFill/>
            </a:ln>
            <a:effectLst/>
          </c:spPr>
          <c:invertIfNegative val="0"/>
          <c:cat>
            <c:strRef>
              <c:f>Population!$H$3:$H$7</c:f>
              <c:strCache>
                <c:ptCount val="5"/>
                <c:pt idx="0">
                  <c:v>0-19</c:v>
                </c:pt>
                <c:pt idx="1">
                  <c:v>20-39</c:v>
                </c:pt>
                <c:pt idx="2">
                  <c:v>40-59</c:v>
                </c:pt>
                <c:pt idx="3">
                  <c:v>60-79</c:v>
                </c:pt>
                <c:pt idx="4">
                  <c:v>80+</c:v>
                </c:pt>
              </c:strCache>
            </c:strRef>
          </c:cat>
          <c:val>
            <c:numRef>
              <c:f>Population!$I$3:$I$7</c:f>
              <c:numCache>
                <c:formatCode>General</c:formatCode>
                <c:ptCount val="5"/>
                <c:pt idx="0">
                  <c:v>230211</c:v>
                </c:pt>
                <c:pt idx="1">
                  <c:v>282831</c:v>
                </c:pt>
                <c:pt idx="2">
                  <c:v>153390</c:v>
                </c:pt>
                <c:pt idx="3">
                  <c:v>65304</c:v>
                </c:pt>
                <c:pt idx="4">
                  <c:v>9151</c:v>
                </c:pt>
              </c:numCache>
            </c:numRef>
          </c:val>
          <c:extLst>
            <c:ext xmlns:c16="http://schemas.microsoft.com/office/drawing/2014/chart" uri="{C3380CC4-5D6E-409C-BE32-E72D297353CC}">
              <c16:uniqueId val="{00000000-7CB7-4035-9B9B-ADBCD5585534}"/>
            </c:ext>
          </c:extLst>
        </c:ser>
        <c:ser>
          <c:idx val="1"/>
          <c:order val="1"/>
          <c:tx>
            <c:strRef>
              <c:f>Population!$J$2</c:f>
              <c:strCache>
                <c:ptCount val="1"/>
                <c:pt idx="0">
                  <c:v>Sum of Male Population</c:v>
                </c:pt>
              </c:strCache>
            </c:strRef>
          </c:tx>
          <c:spPr>
            <a:solidFill>
              <a:schemeClr val="accent4">
                <a:lumMod val="60000"/>
                <a:lumOff val="40000"/>
              </a:schemeClr>
            </a:solidFill>
            <a:ln>
              <a:noFill/>
            </a:ln>
            <a:effectLst/>
          </c:spPr>
          <c:invertIfNegative val="0"/>
          <c:cat>
            <c:strRef>
              <c:f>Population!$H$3:$H$7</c:f>
              <c:strCache>
                <c:ptCount val="5"/>
                <c:pt idx="0">
                  <c:v>0-19</c:v>
                </c:pt>
                <c:pt idx="1">
                  <c:v>20-39</c:v>
                </c:pt>
                <c:pt idx="2">
                  <c:v>40-59</c:v>
                </c:pt>
                <c:pt idx="3">
                  <c:v>60-79</c:v>
                </c:pt>
                <c:pt idx="4">
                  <c:v>80+</c:v>
                </c:pt>
              </c:strCache>
            </c:strRef>
          </c:cat>
          <c:val>
            <c:numRef>
              <c:f>Population!$J$3:$J$7</c:f>
              <c:numCache>
                <c:formatCode>General</c:formatCode>
                <c:ptCount val="5"/>
                <c:pt idx="0">
                  <c:v>270287</c:v>
                </c:pt>
                <c:pt idx="1">
                  <c:v>301432</c:v>
                </c:pt>
                <c:pt idx="2">
                  <c:v>167043</c:v>
                </c:pt>
                <c:pt idx="3">
                  <c:v>69023</c:v>
                </c:pt>
                <c:pt idx="4">
                  <c:v>8406</c:v>
                </c:pt>
              </c:numCache>
            </c:numRef>
          </c:val>
          <c:extLst>
            <c:ext xmlns:c16="http://schemas.microsoft.com/office/drawing/2014/chart" uri="{C3380CC4-5D6E-409C-BE32-E72D297353CC}">
              <c16:uniqueId val="{00000001-7CB7-4035-9B9B-ADBCD5585534}"/>
            </c:ext>
          </c:extLst>
        </c:ser>
        <c:dLbls>
          <c:showLegendKey val="0"/>
          <c:showVal val="0"/>
          <c:showCatName val="0"/>
          <c:showSerName val="0"/>
          <c:showPercent val="0"/>
          <c:showBubbleSize val="0"/>
        </c:dLbls>
        <c:gapWidth val="75"/>
        <c:overlap val="-25"/>
        <c:axId val="1065028751"/>
        <c:axId val="1065023471"/>
      </c:barChart>
      <c:catAx>
        <c:axId val="1065028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23471"/>
        <c:crosses val="autoZero"/>
        <c:auto val="1"/>
        <c:lblAlgn val="ctr"/>
        <c:lblOffset val="100"/>
        <c:noMultiLvlLbl val="0"/>
      </c:catAx>
      <c:valAx>
        <c:axId val="106502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2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4">
              <a:lumMod val="60000"/>
              <a:lumOff val="40000"/>
            </a:schemeClr>
          </a:gs>
          <a:gs pos="38000">
            <a:schemeClr val="accent4">
              <a:lumMod val="75000"/>
            </a:schemeClr>
          </a:gs>
          <a:gs pos="96000">
            <a:schemeClr val="accent2">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DASHBOARD.xlsx]Population!PivotTable6</c:name>
    <c:fmtId val="26"/>
  </c:pivotSource>
  <c:chart>
    <c:title>
      <c:tx>
        <c:rich>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r>
              <a:rPr lang="en-IN" sz="1050" b="1">
                <a:solidFill>
                  <a:sysClr val="windowText" lastClr="000000"/>
                </a:solidFill>
              </a:rPr>
              <a:t>URBAN</a:t>
            </a:r>
            <a:r>
              <a:rPr lang="en-IN" sz="1050" b="1" baseline="0">
                <a:solidFill>
                  <a:sysClr val="windowText" lastClr="000000"/>
                </a:solidFill>
              </a:rPr>
              <a:t> - RURAL POPULATION STRUCTURE</a:t>
            </a:r>
            <a:endParaRPr lang="en-IN"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outerShdw dist="50800" dir="3660000" sx="1000" sy="1000" algn="ctr" rotWithShape="0">
              <a:srgbClr val="000000">
                <a:alpha val="43137"/>
              </a:srgbClr>
            </a:outerShdw>
          </a:effectLst>
        </c:spPr>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t="100000" r="100000"/>
            </a:path>
            <a:tileRect l="-100000" b="-100000"/>
          </a:gradFill>
          <a:ln w="19050">
            <a:solidFill>
              <a:schemeClr val="lt1"/>
            </a:solidFill>
          </a:ln>
          <a:effectLst>
            <a:outerShdw dist="50800" dir="3660000" sx="1000" sy="1000" algn="ctr" rotWithShape="0">
              <a:srgbClr val="000000">
                <a:alpha val="43137"/>
              </a:srgbClr>
            </a:outerShdw>
          </a:effectLst>
        </c:spPr>
      </c:pivotFmt>
      <c:pivotFmt>
        <c:idx val="3"/>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outerShdw dist="50800" dir="3660000" sx="1000" sy="1000" algn="ctr" rotWithShape="0">
              <a:srgbClr val="000000">
                <a:alpha val="43137"/>
              </a:srgbClr>
            </a:outerShdw>
          </a:effectLst>
        </c:spPr>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t="100000" r="100000"/>
            </a:path>
            <a:tileRect l="-100000" b="-100000"/>
          </a:gradFill>
          <a:ln w="19050">
            <a:solidFill>
              <a:schemeClr val="lt1"/>
            </a:solidFill>
          </a:ln>
          <a:effectLst>
            <a:outerShdw dist="50800" dir="3660000" sx="1000" sy="1000" algn="ctr" rotWithShape="0">
              <a:srgbClr val="000000">
                <a:alpha val="43137"/>
              </a:srgbClr>
            </a:outerShdw>
          </a:effectLst>
        </c:spPr>
      </c:pivotFmt>
      <c:pivotFmt>
        <c:idx val="6"/>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8"/>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9"/>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11"/>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12"/>
        <c:spPr>
          <a:solidFill>
            <a:schemeClr val="accent2"/>
          </a:solidFill>
          <a:ln w="19050">
            <a:solidFill>
              <a:schemeClr val="lt1"/>
            </a:solidFill>
          </a:ln>
          <a:effectLst>
            <a:outerShdw dist="50800" dir="366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
        <c:idx val="14"/>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pivotFmt>
    </c:pivotFmts>
    <c:plotArea>
      <c:layout/>
      <c:doughnutChart>
        <c:varyColors val="1"/>
        <c:ser>
          <c:idx val="0"/>
          <c:order val="0"/>
          <c:tx>
            <c:strRef>
              <c:f>Population!$M$2</c:f>
              <c:strCache>
                <c:ptCount val="1"/>
                <c:pt idx="0">
                  <c:v>Total</c:v>
                </c:pt>
              </c:strCache>
            </c:strRef>
          </c:tx>
          <c:spPr>
            <a:effectLst>
              <a:outerShdw dist="50800" dir="3660000" sx="1000" sy="1000" algn="ctr" rotWithShape="0">
                <a:srgbClr val="000000">
                  <a:alpha val="43137"/>
                </a:srgbClr>
              </a:outerShdw>
            </a:effectLst>
          </c:spPr>
          <c:dPt>
            <c:idx val="0"/>
            <c:bubble3D val="0"/>
            <c:spPr>
              <a:solidFill>
                <a:schemeClr val="accent6">
                  <a:lumMod val="60000"/>
                  <a:lumOff val="40000"/>
                </a:schemeClr>
              </a:solidFill>
              <a:ln w="19050">
                <a:solidFill>
                  <a:schemeClr val="lt1"/>
                </a:solidFill>
              </a:ln>
              <a:effectLst>
                <a:outerShdw dist="50800" dir="3660000" sx="1000" sy="1000" algn="ctr" rotWithShape="0">
                  <a:srgbClr val="000000">
                    <a:alpha val="43137"/>
                  </a:srgbClr>
                </a:outerShdw>
              </a:effectLst>
            </c:spPr>
            <c:extLst>
              <c:ext xmlns:c16="http://schemas.microsoft.com/office/drawing/2014/chart" uri="{C3380CC4-5D6E-409C-BE32-E72D297353CC}">
                <c16:uniqueId val="{00000001-1244-4313-95C3-B3BC58226B88}"/>
              </c:ext>
            </c:extLst>
          </c:dPt>
          <c:dPt>
            <c:idx val="1"/>
            <c:bubble3D val="0"/>
            <c:spPr>
              <a:solidFill>
                <a:schemeClr val="accent5">
                  <a:lumMod val="60000"/>
                  <a:lumOff val="40000"/>
                </a:schemeClr>
              </a:solidFill>
              <a:ln w="19050">
                <a:solidFill>
                  <a:schemeClr val="lt1"/>
                </a:solidFill>
              </a:ln>
              <a:effectLst>
                <a:outerShdw dist="50800" dir="3660000" sx="1000" sy="1000" algn="ctr" rotWithShape="0">
                  <a:srgbClr val="000000">
                    <a:alpha val="43137"/>
                  </a:srgbClr>
                </a:outerShdw>
              </a:effectLst>
            </c:spPr>
            <c:extLst>
              <c:ext xmlns:c16="http://schemas.microsoft.com/office/drawing/2014/chart" uri="{C3380CC4-5D6E-409C-BE32-E72D297353CC}">
                <c16:uniqueId val="{00000003-1244-4313-95C3-B3BC58226B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Population!$L$3:$L$5</c:f>
              <c:strCache>
                <c:ptCount val="2"/>
                <c:pt idx="0">
                  <c:v>Rural</c:v>
                </c:pt>
                <c:pt idx="1">
                  <c:v>Urban</c:v>
                </c:pt>
              </c:strCache>
            </c:strRef>
          </c:cat>
          <c:val>
            <c:numRef>
              <c:f>Population!$M$3:$M$5</c:f>
              <c:numCache>
                <c:formatCode>General</c:formatCode>
                <c:ptCount val="2"/>
                <c:pt idx="0">
                  <c:v>657046</c:v>
                </c:pt>
                <c:pt idx="1">
                  <c:v>868930</c:v>
                </c:pt>
              </c:numCache>
            </c:numRef>
          </c:val>
          <c:extLst>
            <c:ext xmlns:c16="http://schemas.microsoft.com/office/drawing/2014/chart" uri="{C3380CC4-5D6E-409C-BE32-E72D297353CC}">
              <c16:uniqueId val="{00000004-1244-4313-95C3-B3BC58226B88}"/>
            </c:ext>
          </c:extLst>
        </c:ser>
        <c:dLbls>
          <c:showLegendKey val="0"/>
          <c:showVal val="0"/>
          <c:showCatName val="0"/>
          <c:showSerName val="0"/>
          <c:showPercent val="1"/>
          <c:showBubbleSize val="0"/>
          <c:showLeaderLines val="1"/>
        </c:dLbls>
        <c:firstSliceAng val="0"/>
        <c:holeSize val="50"/>
      </c:doughnutChart>
      <c:spPr>
        <a:noFill/>
        <a:ln>
          <a:noFill/>
        </a:ln>
        <a:effectLst>
          <a:outerShdw blurRad="50800" dist="127000" sx="1000" sy="1000" algn="ctr" rotWithShape="0">
            <a:srgbClr val="000000"/>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gradFill>
        <a:gsLst>
          <a:gs pos="0">
            <a:schemeClr val="accent5">
              <a:lumMod val="60000"/>
              <a:lumOff val="40000"/>
            </a:schemeClr>
          </a:gs>
          <a:gs pos="100000">
            <a:schemeClr val="accent1">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DASHBOARD.xlsx]Population!PivotTable2</c:name>
    <c:fmtId val="2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a:t>GENDER</a:t>
            </a:r>
            <a:r>
              <a:rPr lang="en-IN" sz="1400" b="1" baseline="0"/>
              <a:t> DISTRIBUTION BY AREA TYPE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Population!$P$2</c:f>
              <c:strCache>
                <c:ptCount val="1"/>
                <c:pt idx="0">
                  <c:v>Sum of Male Population</c:v>
                </c:pt>
              </c:strCache>
            </c:strRef>
          </c:tx>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0800000" scaled="1"/>
              <a:tileRect/>
            </a:gradFill>
            <a:ln>
              <a:noFill/>
            </a:ln>
            <a:effectLst/>
          </c:spPr>
          <c:invertIfNegative val="0"/>
          <c:cat>
            <c:strRef>
              <c:f>Population!$O$3:$O$5</c:f>
              <c:strCache>
                <c:ptCount val="2"/>
                <c:pt idx="0">
                  <c:v>Rural</c:v>
                </c:pt>
                <c:pt idx="1">
                  <c:v>Urban</c:v>
                </c:pt>
              </c:strCache>
            </c:strRef>
          </c:cat>
          <c:val>
            <c:numRef>
              <c:f>Population!$P$3:$P$5</c:f>
              <c:numCache>
                <c:formatCode>General</c:formatCode>
                <c:ptCount val="2"/>
                <c:pt idx="0">
                  <c:v>355985</c:v>
                </c:pt>
                <c:pt idx="1">
                  <c:v>460206</c:v>
                </c:pt>
              </c:numCache>
            </c:numRef>
          </c:val>
          <c:extLst>
            <c:ext xmlns:c16="http://schemas.microsoft.com/office/drawing/2014/chart" uri="{C3380CC4-5D6E-409C-BE32-E72D297353CC}">
              <c16:uniqueId val="{00000000-B2FD-4430-A736-A88EC9E75FFD}"/>
            </c:ext>
          </c:extLst>
        </c:ser>
        <c:ser>
          <c:idx val="1"/>
          <c:order val="1"/>
          <c:tx>
            <c:strRef>
              <c:f>Population!$Q$2</c:f>
              <c:strCache>
                <c:ptCount val="1"/>
                <c:pt idx="0">
                  <c:v>Sum of Female Population</c:v>
                </c:pt>
              </c:strCache>
            </c:strRef>
          </c:tx>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a:noFill/>
            </a:ln>
            <a:effectLst/>
          </c:spPr>
          <c:invertIfNegative val="0"/>
          <c:cat>
            <c:strRef>
              <c:f>Population!$O$3:$O$5</c:f>
              <c:strCache>
                <c:ptCount val="2"/>
                <c:pt idx="0">
                  <c:v>Rural</c:v>
                </c:pt>
                <c:pt idx="1">
                  <c:v>Urban</c:v>
                </c:pt>
              </c:strCache>
            </c:strRef>
          </c:cat>
          <c:val>
            <c:numRef>
              <c:f>Population!$Q$3:$Q$5</c:f>
              <c:numCache>
                <c:formatCode>General</c:formatCode>
                <c:ptCount val="2"/>
                <c:pt idx="0">
                  <c:v>332163</c:v>
                </c:pt>
                <c:pt idx="1">
                  <c:v>408724</c:v>
                </c:pt>
              </c:numCache>
            </c:numRef>
          </c:val>
          <c:extLst>
            <c:ext xmlns:c16="http://schemas.microsoft.com/office/drawing/2014/chart" uri="{C3380CC4-5D6E-409C-BE32-E72D297353CC}">
              <c16:uniqueId val="{00000001-B2FD-4430-A736-A88EC9E75FFD}"/>
            </c:ext>
          </c:extLst>
        </c:ser>
        <c:dLbls>
          <c:showLegendKey val="0"/>
          <c:showVal val="0"/>
          <c:showCatName val="0"/>
          <c:showSerName val="0"/>
          <c:showPercent val="0"/>
          <c:showBubbleSize val="0"/>
        </c:dLbls>
        <c:gapWidth val="95"/>
        <c:overlap val="100"/>
        <c:axId val="975304847"/>
        <c:axId val="975306287"/>
      </c:barChart>
      <c:catAx>
        <c:axId val="9753048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5306287"/>
        <c:crosses val="autoZero"/>
        <c:auto val="1"/>
        <c:lblAlgn val="ctr"/>
        <c:lblOffset val="100"/>
        <c:noMultiLvlLbl val="0"/>
      </c:catAx>
      <c:valAx>
        <c:axId val="975306287"/>
        <c:scaling>
          <c:orientation val="minMax"/>
        </c:scaling>
        <c:delete val="1"/>
        <c:axPos val="l"/>
        <c:numFmt formatCode="General" sourceLinked="1"/>
        <c:majorTickMark val="none"/>
        <c:minorTickMark val="none"/>
        <c:tickLblPos val="nextTo"/>
        <c:crossAx val="97530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6675" cap="flat" cmpd="sng" algn="ctr">
      <a:gradFill>
        <a:gsLst>
          <a:gs pos="50000">
            <a:schemeClr val="accent6">
              <a:lumMod val="60000"/>
              <a:lumOff val="40000"/>
            </a:schemeClr>
          </a:gs>
          <a:gs pos="0">
            <a:schemeClr val="accent6">
              <a:lumMod val="40000"/>
              <a:lumOff val="60000"/>
            </a:schemeClr>
          </a:gs>
          <a:gs pos="100000">
            <a:schemeClr val="accent6">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DASHBOARD.xlsx]Population!PivotTable3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AGE</a:t>
            </a:r>
            <a:r>
              <a:rPr lang="en-IN" sz="1200" b="1" baseline="0">
                <a:solidFill>
                  <a:sysClr val="windowText" lastClr="000000"/>
                </a:solidFill>
              </a:rPr>
              <a:t> GROUP CONTRIBUTION TO TOTAL POPULATION</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317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Population!$T$2</c:f>
              <c:strCache>
                <c:ptCount val="1"/>
                <c:pt idx="0">
                  <c:v>Total</c:v>
                </c:pt>
              </c:strCache>
            </c:strRef>
          </c:tx>
          <c:spPr>
            <a:noFill/>
            <a:ln w="31750">
              <a:solidFill>
                <a:schemeClr val="accent2"/>
              </a:solidFill>
            </a:ln>
            <a:effectLst/>
          </c:spPr>
          <c:cat>
            <c:strRef>
              <c:f>Population!$S$3:$S$8</c:f>
              <c:strCache>
                <c:ptCount val="5"/>
                <c:pt idx="0">
                  <c:v>0-19</c:v>
                </c:pt>
                <c:pt idx="1">
                  <c:v>20-39</c:v>
                </c:pt>
                <c:pt idx="2">
                  <c:v>40-59</c:v>
                </c:pt>
                <c:pt idx="3">
                  <c:v>60-79</c:v>
                </c:pt>
                <c:pt idx="4">
                  <c:v>80+</c:v>
                </c:pt>
              </c:strCache>
            </c:strRef>
          </c:cat>
          <c:val>
            <c:numRef>
              <c:f>Population!$T$3:$T$8</c:f>
              <c:numCache>
                <c:formatCode>General</c:formatCode>
                <c:ptCount val="5"/>
                <c:pt idx="0">
                  <c:v>500498</c:v>
                </c:pt>
                <c:pt idx="1">
                  <c:v>584263</c:v>
                </c:pt>
                <c:pt idx="2">
                  <c:v>320433</c:v>
                </c:pt>
                <c:pt idx="3">
                  <c:v>103225</c:v>
                </c:pt>
                <c:pt idx="4">
                  <c:v>17557</c:v>
                </c:pt>
              </c:numCache>
            </c:numRef>
          </c:val>
          <c:extLst>
            <c:ext xmlns:c16="http://schemas.microsoft.com/office/drawing/2014/chart" uri="{C3380CC4-5D6E-409C-BE32-E72D297353CC}">
              <c16:uniqueId val="{00000000-A12B-44F7-AD0D-1FBBF1FE245E}"/>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axId val="1185215023"/>
        <c:axId val="1185222703"/>
      </c:areaChart>
      <c:catAx>
        <c:axId val="11852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22703"/>
        <c:crosses val="autoZero"/>
        <c:auto val="1"/>
        <c:lblAlgn val="ctr"/>
        <c:lblOffset val="100"/>
        <c:noMultiLvlLbl val="0"/>
      </c:catAx>
      <c:valAx>
        <c:axId val="118522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15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gradFill>
        <a:gsLst>
          <a:gs pos="50000">
            <a:schemeClr val="accent4">
              <a:lumMod val="60000"/>
              <a:lumOff val="40000"/>
            </a:schemeClr>
          </a:gs>
          <a:gs pos="0">
            <a:srgbClr val="92D050"/>
          </a:gs>
          <a:gs pos="100000">
            <a:schemeClr val="accent2">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Children!PivotTable3</c:name>
    <c:fmtId val="2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TOTAL</a:t>
            </a:r>
            <a:r>
              <a:rPr lang="en-IN" sz="1200" b="1" baseline="0">
                <a:solidFill>
                  <a:schemeClr val="tx1"/>
                </a:solidFill>
              </a:rPr>
              <a:t> SURVIVING CHILDREN BY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7C80"/>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flip="none" rotWithShape="1">
            <a:gsLst>
              <a:gs pos="0">
                <a:srgbClr val="66FF33">
                  <a:shade val="30000"/>
                  <a:satMod val="115000"/>
                </a:srgbClr>
              </a:gs>
              <a:gs pos="50000">
                <a:srgbClr val="66FF33">
                  <a:shade val="67500"/>
                  <a:satMod val="115000"/>
                </a:srgbClr>
              </a:gs>
              <a:gs pos="100000">
                <a:srgbClr val="66FF33">
                  <a:shade val="100000"/>
                  <a:satMod val="115000"/>
                </a:srgbClr>
              </a:gs>
            </a:gsLst>
            <a:lin ang="8100000" scaled="1"/>
            <a:tileRect/>
          </a:gradFill>
          <a:ln w="19050">
            <a:solidFill>
              <a:schemeClr val="lt1"/>
            </a:solidFill>
          </a:ln>
          <a:effectLst/>
        </c:spPr>
        <c:dLbl>
          <c:idx val="0"/>
          <c:layout>
            <c:manualLayout>
              <c:x val="3.1296793095237432E-2"/>
              <c:y val="-1.6393442622950869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path path="circle">
              <a:fillToRect l="100000" t="100000"/>
            </a:path>
            <a:tileRect r="-100000" b="-100000"/>
          </a:gradFill>
          <a:ln w="19050">
            <a:solidFill>
              <a:schemeClr val="lt1"/>
            </a:solidFill>
          </a:ln>
          <a:effectLst/>
        </c:spPr>
        <c:dLbl>
          <c:idx val="0"/>
          <c:layout>
            <c:manualLayout>
              <c:x val="-3.9120991369046794E-2"/>
              <c:y val="-0.16393442622950818"/>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tx2">
              <a:lumMod val="60000"/>
              <a:lumOff val="40000"/>
            </a:schemeClr>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92D050"/>
          </a:solidFill>
          <a:ln w="19050">
            <a:solidFill>
              <a:schemeClr val="lt1"/>
            </a:solidFill>
          </a:ln>
          <a:effectLst/>
        </c:spPr>
      </c:pivotFmt>
      <c:pivotFmt>
        <c:idx val="20"/>
        <c:spPr>
          <a:solidFill>
            <a:schemeClr val="tx2">
              <a:lumMod val="60000"/>
              <a:lumOff val="40000"/>
            </a:schemeClr>
          </a:solidFill>
          <a:ln w="19050">
            <a:solidFill>
              <a:schemeClr val="lt1"/>
            </a:solidFill>
          </a:ln>
          <a:effectLst/>
        </c:spPr>
      </c:pivotFmt>
      <c:pivotFmt>
        <c:idx val="21"/>
        <c:spPr>
          <a:solidFill>
            <a:schemeClr val="tx2">
              <a:lumMod val="60000"/>
              <a:lumOff val="40000"/>
            </a:schemeClr>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92D050"/>
          </a:solidFill>
          <a:ln w="19050">
            <a:solidFill>
              <a:schemeClr val="lt1"/>
            </a:solidFill>
          </a:ln>
          <a:effectLst/>
        </c:spPr>
      </c:pivotFmt>
      <c:pivotFmt>
        <c:idx val="23"/>
        <c:spPr>
          <a:solidFill>
            <a:schemeClr val="tx2">
              <a:lumMod val="60000"/>
              <a:lumOff val="40000"/>
            </a:schemeClr>
          </a:solidFill>
          <a:ln w="19050">
            <a:solidFill>
              <a:schemeClr val="lt1"/>
            </a:solidFill>
          </a:ln>
          <a:effectLst/>
        </c:spPr>
      </c:pivotFmt>
      <c:pivotFmt>
        <c:idx val="24"/>
        <c:spPr>
          <a:solidFill>
            <a:schemeClr val="tx2">
              <a:lumMod val="60000"/>
              <a:lumOff val="40000"/>
            </a:schemeClr>
          </a:solidFill>
          <a:ln w="19050">
            <a:solidFill>
              <a:schemeClr val="lt1"/>
            </a:solidFill>
          </a:ln>
          <a:effectLst/>
        </c:spPr>
        <c:marker>
          <c:symbol val="none"/>
        </c:marker>
        <c:dLbl>
          <c:idx val="0"/>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92D050"/>
          </a:solidFill>
          <a:ln w="19050">
            <a:solidFill>
              <a:schemeClr val="lt1"/>
            </a:solidFill>
          </a:ln>
          <a:effectLst/>
        </c:spPr>
      </c:pivotFmt>
      <c:pivotFmt>
        <c:idx val="26"/>
        <c:spPr>
          <a:solidFill>
            <a:schemeClr val="tx2">
              <a:lumMod val="60000"/>
              <a:lumOff val="40000"/>
            </a:schemeClr>
          </a:solidFill>
          <a:ln w="19050">
            <a:solidFill>
              <a:schemeClr val="lt1"/>
            </a:solidFill>
          </a:ln>
          <a:effectLst/>
        </c:spPr>
      </c:pivotFmt>
    </c:pivotFmts>
    <c:plotArea>
      <c:layout/>
      <c:pieChart>
        <c:varyColors val="1"/>
        <c:ser>
          <c:idx val="0"/>
          <c:order val="0"/>
          <c:tx>
            <c:strRef>
              <c:f>'Surviving Children'!$Z$2</c:f>
              <c:strCache>
                <c:ptCount val="1"/>
                <c:pt idx="0">
                  <c:v>Total</c:v>
                </c:pt>
              </c:strCache>
            </c:strRef>
          </c:tx>
          <c:spPr>
            <a:solidFill>
              <a:schemeClr val="tx2">
                <a:lumMod val="60000"/>
                <a:lumOff val="40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0BF8-467B-8A5D-0266BFBDBC49}"/>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0BF8-467B-8A5D-0266BFBDBC49}"/>
              </c:ext>
            </c:extLst>
          </c:dPt>
          <c:dLbls>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'Surviving Children'!$Y$3:$Y$4</c:f>
              <c:strCache>
                <c:ptCount val="2"/>
                <c:pt idx="0">
                  <c:v>Rural</c:v>
                </c:pt>
                <c:pt idx="1">
                  <c:v>Urban</c:v>
                </c:pt>
              </c:strCache>
            </c:strRef>
          </c:cat>
          <c:val>
            <c:numRef>
              <c:f>'Surviving Children'!$Z$3:$Z$4</c:f>
              <c:numCache>
                <c:formatCode>General</c:formatCode>
                <c:ptCount val="2"/>
                <c:pt idx="0">
                  <c:v>531524</c:v>
                </c:pt>
                <c:pt idx="1">
                  <c:v>577344</c:v>
                </c:pt>
              </c:numCache>
            </c:numRef>
          </c:val>
          <c:extLst>
            <c:ext xmlns:c16="http://schemas.microsoft.com/office/drawing/2014/chart" uri="{C3380CC4-5D6E-409C-BE32-E72D297353CC}">
              <c16:uniqueId val="{00000004-0BF8-467B-8A5D-0266BFBDBC49}"/>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48000">
            <a:schemeClr val="bg1">
              <a:lumMod val="65000"/>
            </a:schemeClr>
          </a:gs>
          <a:gs pos="100000">
            <a:schemeClr val="tx1">
              <a:lumMod val="95000"/>
              <a:lumOff val="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Children!PivotTable2</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WOMEN VS TOTAL EVER MARRIED WOMEN BY AGE AND AREA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C00000"/>
            </a:solidFill>
            <a:round/>
          </a:ln>
          <a:effectLst/>
        </c:spPr>
        <c:marker>
          <c:symbol val="circle"/>
          <c:size val="6"/>
          <c:spPr>
            <a:solidFill>
              <a:srgbClr val="C00000"/>
            </a:solidFill>
            <a:ln w="12700">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C00000"/>
            </a:solidFill>
            <a:round/>
          </a:ln>
          <a:effectLst/>
        </c:spPr>
        <c:marker>
          <c:symbol val="circle"/>
          <c:size val="6"/>
          <c:spPr>
            <a:solidFill>
              <a:srgbClr val="C00000"/>
            </a:solidFill>
            <a:ln w="12700">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rgbClr val="C00000"/>
            </a:solidFill>
            <a:round/>
          </a:ln>
          <a:effectLst/>
        </c:spPr>
        <c:marker>
          <c:symbol val="circle"/>
          <c:size val="6"/>
          <c:spPr>
            <a:solidFill>
              <a:srgbClr val="C00000"/>
            </a:solidFill>
            <a:ln w="12700">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'Surviving Children'!$Q$2:$Q$4</c:f>
              <c:strCache>
                <c:ptCount val="1"/>
                <c:pt idx="0">
                  <c:v>Rural - Sum of Total Women</c:v>
                </c:pt>
              </c:strCache>
            </c:strRef>
          </c:tx>
          <c:spPr>
            <a:solidFill>
              <a:schemeClr val="accent2">
                <a:lumMod val="60000"/>
                <a:lumOff val="40000"/>
              </a:schemeClr>
            </a:solidFill>
            <a:ln>
              <a:noFill/>
            </a:ln>
            <a:effectLst/>
          </c:spPr>
          <c:invertIfNegative val="0"/>
          <c:cat>
            <c:strRef>
              <c:f>'Surviving Children'!$P$5:$P$9</c:f>
              <c:strCache>
                <c:ptCount val="5"/>
                <c:pt idx="0">
                  <c:v>0-19</c:v>
                </c:pt>
                <c:pt idx="1">
                  <c:v>20-39</c:v>
                </c:pt>
                <c:pt idx="2">
                  <c:v>40-59</c:v>
                </c:pt>
                <c:pt idx="3">
                  <c:v>60-79</c:v>
                </c:pt>
                <c:pt idx="4">
                  <c:v>80+</c:v>
                </c:pt>
              </c:strCache>
            </c:strRef>
          </c:cat>
          <c:val>
            <c:numRef>
              <c:f>'Surviving Children'!$Q$5:$Q$9</c:f>
              <c:numCache>
                <c:formatCode>General</c:formatCode>
                <c:ptCount val="5"/>
                <c:pt idx="0">
                  <c:v>145072</c:v>
                </c:pt>
                <c:pt idx="1">
                  <c:v>122620</c:v>
                </c:pt>
                <c:pt idx="2">
                  <c:v>62312</c:v>
                </c:pt>
                <c:pt idx="3">
                  <c:v>27093</c:v>
                </c:pt>
                <c:pt idx="4">
                  <c:v>3807</c:v>
                </c:pt>
              </c:numCache>
            </c:numRef>
          </c:val>
          <c:extLst>
            <c:ext xmlns:c16="http://schemas.microsoft.com/office/drawing/2014/chart" uri="{C3380CC4-5D6E-409C-BE32-E72D297353CC}">
              <c16:uniqueId val="{00000000-D526-4CA4-8780-49252460F18A}"/>
            </c:ext>
          </c:extLst>
        </c:ser>
        <c:ser>
          <c:idx val="2"/>
          <c:order val="2"/>
          <c:tx>
            <c:strRef>
              <c:f>'Surviving Children'!$S$2:$S$4</c:f>
              <c:strCache>
                <c:ptCount val="1"/>
                <c:pt idx="0">
                  <c:v>Urban - Sum of Total Women</c:v>
                </c:pt>
              </c:strCache>
            </c:strRef>
          </c:tx>
          <c:spPr>
            <a:solidFill>
              <a:schemeClr val="accent5">
                <a:lumMod val="60000"/>
                <a:lumOff val="40000"/>
              </a:schemeClr>
            </a:solidFill>
            <a:ln>
              <a:noFill/>
            </a:ln>
            <a:effectLst/>
          </c:spPr>
          <c:invertIfNegative val="0"/>
          <c:cat>
            <c:strRef>
              <c:f>'Surviving Children'!$P$5:$P$9</c:f>
              <c:strCache>
                <c:ptCount val="5"/>
                <c:pt idx="0">
                  <c:v>0-19</c:v>
                </c:pt>
                <c:pt idx="1">
                  <c:v>20-39</c:v>
                </c:pt>
                <c:pt idx="2">
                  <c:v>40-59</c:v>
                </c:pt>
                <c:pt idx="3">
                  <c:v>60-79</c:v>
                </c:pt>
                <c:pt idx="4">
                  <c:v>80+</c:v>
                </c:pt>
              </c:strCache>
            </c:strRef>
          </c:cat>
          <c:val>
            <c:numRef>
              <c:f>'Surviving Children'!$S$5:$S$9</c:f>
              <c:numCache>
                <c:formatCode>General</c:formatCode>
                <c:ptCount val="5"/>
                <c:pt idx="0">
                  <c:v>150220</c:v>
                </c:pt>
                <c:pt idx="1">
                  <c:v>160211</c:v>
                </c:pt>
                <c:pt idx="2">
                  <c:v>91078</c:v>
                </c:pt>
                <c:pt idx="3">
                  <c:v>34202</c:v>
                </c:pt>
                <c:pt idx="4">
                  <c:v>5344</c:v>
                </c:pt>
              </c:numCache>
            </c:numRef>
          </c:val>
          <c:extLst>
            <c:ext xmlns:c16="http://schemas.microsoft.com/office/drawing/2014/chart" uri="{C3380CC4-5D6E-409C-BE32-E72D297353CC}">
              <c16:uniqueId val="{00000001-D526-4CA4-8780-49252460F18A}"/>
            </c:ext>
          </c:extLst>
        </c:ser>
        <c:dLbls>
          <c:showLegendKey val="0"/>
          <c:showVal val="0"/>
          <c:showCatName val="0"/>
          <c:showSerName val="0"/>
          <c:showPercent val="0"/>
          <c:showBubbleSize val="0"/>
        </c:dLbls>
        <c:gapWidth val="75"/>
        <c:overlap val="-25"/>
        <c:axId val="1543505935"/>
        <c:axId val="1543532815"/>
      </c:barChart>
      <c:lineChart>
        <c:grouping val="standard"/>
        <c:varyColors val="0"/>
        <c:ser>
          <c:idx val="1"/>
          <c:order val="1"/>
          <c:tx>
            <c:strRef>
              <c:f>'Surviving Children'!$R$2:$R$4</c:f>
              <c:strCache>
                <c:ptCount val="1"/>
                <c:pt idx="0">
                  <c:v>Rural - Sum of Total ever married
women</c:v>
                </c:pt>
              </c:strCache>
            </c:strRef>
          </c:tx>
          <c:spPr>
            <a:ln w="31750" cap="rnd">
              <a:solidFill>
                <a:srgbClr val="C00000"/>
              </a:solidFill>
              <a:round/>
            </a:ln>
            <a:effectLst/>
          </c:spPr>
          <c:marker>
            <c:symbol val="circle"/>
            <c:size val="6"/>
            <c:spPr>
              <a:solidFill>
                <a:srgbClr val="C00000"/>
              </a:solidFill>
              <a:ln w="12700">
                <a:solidFill>
                  <a:srgbClr val="C00000"/>
                </a:solidFill>
                <a:round/>
              </a:ln>
              <a:effectLst/>
            </c:spPr>
          </c:marker>
          <c:cat>
            <c:strRef>
              <c:f>'Surviving Children'!$P$5:$P$9</c:f>
              <c:strCache>
                <c:ptCount val="5"/>
                <c:pt idx="0">
                  <c:v>0-19</c:v>
                </c:pt>
                <c:pt idx="1">
                  <c:v>20-39</c:v>
                </c:pt>
                <c:pt idx="2">
                  <c:v>40-59</c:v>
                </c:pt>
                <c:pt idx="3">
                  <c:v>60-79</c:v>
                </c:pt>
                <c:pt idx="4">
                  <c:v>80+</c:v>
                </c:pt>
              </c:strCache>
            </c:strRef>
          </c:cat>
          <c:val>
            <c:numRef>
              <c:f>'Surviving Children'!$R$5:$R$9</c:f>
              <c:numCache>
                <c:formatCode>General</c:formatCode>
                <c:ptCount val="5"/>
                <c:pt idx="0">
                  <c:v>4289</c:v>
                </c:pt>
                <c:pt idx="1">
                  <c:v>100017</c:v>
                </c:pt>
                <c:pt idx="2">
                  <c:v>61851</c:v>
                </c:pt>
                <c:pt idx="3">
                  <c:v>26520</c:v>
                </c:pt>
                <c:pt idx="4">
                  <c:v>3669</c:v>
                </c:pt>
              </c:numCache>
            </c:numRef>
          </c:val>
          <c:smooth val="0"/>
          <c:extLst>
            <c:ext xmlns:c16="http://schemas.microsoft.com/office/drawing/2014/chart" uri="{C3380CC4-5D6E-409C-BE32-E72D297353CC}">
              <c16:uniqueId val="{00000002-D526-4CA4-8780-49252460F18A}"/>
            </c:ext>
          </c:extLst>
        </c:ser>
        <c:ser>
          <c:idx val="3"/>
          <c:order val="3"/>
          <c:tx>
            <c:strRef>
              <c:f>'Surviving Children'!$T$2:$T$4</c:f>
              <c:strCache>
                <c:ptCount val="1"/>
                <c:pt idx="0">
                  <c:v>Urban - Sum of Total ever married
women</c:v>
                </c:pt>
              </c:strCache>
            </c:strRef>
          </c:tx>
          <c:spPr>
            <a:ln w="31750" cap="rnd">
              <a:solidFill>
                <a:schemeClr val="accent6">
                  <a:lumMod val="75000"/>
                </a:schemeClr>
              </a:solidFill>
              <a:round/>
            </a:ln>
            <a:effectLst/>
          </c:spPr>
          <c:marker>
            <c:symbol val="circle"/>
            <c:size val="6"/>
            <c:spPr>
              <a:solidFill>
                <a:schemeClr val="accent6">
                  <a:lumMod val="75000"/>
                </a:schemeClr>
              </a:solidFill>
              <a:ln w="12700">
                <a:solidFill>
                  <a:schemeClr val="accent6">
                    <a:lumMod val="75000"/>
                  </a:schemeClr>
                </a:solidFill>
                <a:round/>
              </a:ln>
              <a:effectLst/>
            </c:spPr>
          </c:marker>
          <c:cat>
            <c:strRef>
              <c:f>'Surviving Children'!$P$5:$P$9</c:f>
              <c:strCache>
                <c:ptCount val="5"/>
                <c:pt idx="0">
                  <c:v>0-19</c:v>
                </c:pt>
                <c:pt idx="1">
                  <c:v>20-39</c:v>
                </c:pt>
                <c:pt idx="2">
                  <c:v>40-59</c:v>
                </c:pt>
                <c:pt idx="3">
                  <c:v>60-79</c:v>
                </c:pt>
                <c:pt idx="4">
                  <c:v>80+</c:v>
                </c:pt>
              </c:strCache>
            </c:strRef>
          </c:cat>
          <c:val>
            <c:numRef>
              <c:f>'Surviving Children'!$T$5:$T$9</c:f>
              <c:numCache>
                <c:formatCode>General</c:formatCode>
                <c:ptCount val="5"/>
                <c:pt idx="0">
                  <c:v>4606</c:v>
                </c:pt>
                <c:pt idx="1">
                  <c:v>124447</c:v>
                </c:pt>
                <c:pt idx="2">
                  <c:v>89583</c:v>
                </c:pt>
                <c:pt idx="3">
                  <c:v>33369</c:v>
                </c:pt>
                <c:pt idx="4">
                  <c:v>5085</c:v>
                </c:pt>
              </c:numCache>
            </c:numRef>
          </c:val>
          <c:smooth val="0"/>
          <c:extLst>
            <c:ext xmlns:c16="http://schemas.microsoft.com/office/drawing/2014/chart" uri="{C3380CC4-5D6E-409C-BE32-E72D297353CC}">
              <c16:uniqueId val="{00000003-D526-4CA4-8780-49252460F18A}"/>
            </c:ext>
          </c:extLst>
        </c:ser>
        <c:dLbls>
          <c:showLegendKey val="0"/>
          <c:showVal val="0"/>
          <c:showCatName val="0"/>
          <c:showSerName val="0"/>
          <c:showPercent val="0"/>
          <c:showBubbleSize val="0"/>
        </c:dLbls>
        <c:marker val="1"/>
        <c:smooth val="0"/>
        <c:axId val="1550122575"/>
        <c:axId val="1550143695"/>
      </c:lineChart>
      <c:catAx>
        <c:axId val="1550122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43695"/>
        <c:crosses val="autoZero"/>
        <c:auto val="1"/>
        <c:lblAlgn val="ctr"/>
        <c:lblOffset val="100"/>
        <c:noMultiLvlLbl val="0"/>
      </c:catAx>
      <c:valAx>
        <c:axId val="15501436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22575"/>
        <c:crosses val="autoZero"/>
        <c:crossBetween val="between"/>
      </c:valAx>
      <c:valAx>
        <c:axId val="15435328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3505935"/>
        <c:crosses val="max"/>
        <c:crossBetween val="between"/>
      </c:valAx>
      <c:catAx>
        <c:axId val="1543505935"/>
        <c:scaling>
          <c:orientation val="minMax"/>
        </c:scaling>
        <c:delete val="1"/>
        <c:axPos val="l"/>
        <c:numFmt formatCode="General" sourceLinked="1"/>
        <c:majorTickMark val="none"/>
        <c:minorTickMark val="none"/>
        <c:tickLblPos val="nextTo"/>
        <c:crossAx val="15435328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8000"/>
              <a:lumOff val="32000"/>
            </a:schemeClr>
          </a:gs>
          <a:gs pos="51000">
            <a:schemeClr val="accent2">
              <a:lumMod val="75000"/>
            </a:schemeClr>
          </a:gs>
          <a:gs pos="100000">
            <a:schemeClr val="accent2">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Children!PivotTable4</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EVER</a:t>
            </a:r>
            <a:r>
              <a:rPr lang="en-US" b="1" baseline="0">
                <a:solidFill>
                  <a:schemeClr val="tx1"/>
                </a:solidFill>
              </a:rPr>
              <a:t> MARRIED WOMEN BY URBAN - RURAL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b="100000"/>
            </a:path>
            <a:tileRect t="-100000" r="-100000"/>
          </a:gra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b="100000"/>
            </a:path>
            <a:tileRect t="-100000" r="-100000"/>
          </a:gradFill>
          <a:ln>
            <a:noFill/>
          </a:ln>
          <a:effectLst/>
        </c:spPr>
      </c:pivotFmt>
      <c:pivotFmt>
        <c:idx val="5"/>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1"/>
          </a:solidFill>
          <a:ln>
            <a:noFill/>
          </a:ln>
          <a:effectLst/>
        </c:spPr>
        <c:marker>
          <c:symbol val="none"/>
        </c:marker>
      </c:pivotFmt>
      <c:pivotFmt>
        <c:idx val="13"/>
        <c:spPr>
          <a:solidFill>
            <a:schemeClr val="accent1">
              <a:lumMod val="75000"/>
            </a:schemeClr>
          </a:solidFill>
          <a:ln>
            <a:noFill/>
          </a:ln>
          <a:effectLst/>
        </c:spPr>
      </c:pivotFmt>
      <c:pivotFmt>
        <c:idx val="14"/>
        <c:spPr>
          <a:solidFill>
            <a:schemeClr val="accent6">
              <a:lumMod val="60000"/>
              <a:lumOff val="40000"/>
            </a:schemeClr>
          </a:solidFill>
          <a:ln>
            <a:noFill/>
          </a:ln>
          <a:effectLst/>
        </c:spPr>
      </c:pivotFmt>
    </c:pivotFmts>
    <c:plotArea>
      <c:layout/>
      <c:barChart>
        <c:barDir val="bar"/>
        <c:grouping val="clustered"/>
        <c:varyColors val="0"/>
        <c:ser>
          <c:idx val="0"/>
          <c:order val="0"/>
          <c:tx>
            <c:strRef>
              <c:f>'Surviving Children'!$W$2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90F1-47EB-9CE6-05BB26B079EB}"/>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90F1-47EB-9CE6-05BB26B079EB}"/>
              </c:ext>
            </c:extLst>
          </c:dPt>
          <c:cat>
            <c:strRef>
              <c:f>'Surviving Children'!$V$3:$V$4</c:f>
              <c:strCache>
                <c:ptCount val="2"/>
                <c:pt idx="0">
                  <c:v>Rural</c:v>
                </c:pt>
                <c:pt idx="1">
                  <c:v>Urban</c:v>
                </c:pt>
              </c:strCache>
            </c:strRef>
          </c:cat>
          <c:val>
            <c:numRef>
              <c:f>'Surviving Children'!$W$3:$W$4</c:f>
              <c:numCache>
                <c:formatCode>General</c:formatCode>
                <c:ptCount val="2"/>
                <c:pt idx="0">
                  <c:v>196346</c:v>
                </c:pt>
                <c:pt idx="1">
                  <c:v>257090</c:v>
                </c:pt>
              </c:numCache>
            </c:numRef>
          </c:val>
          <c:extLst>
            <c:ext xmlns:c16="http://schemas.microsoft.com/office/drawing/2014/chart" uri="{C3380CC4-5D6E-409C-BE32-E72D297353CC}">
              <c16:uniqueId val="{00000004-90F1-47EB-9CE6-05BB26B079EB}"/>
            </c:ext>
          </c:extLst>
        </c:ser>
        <c:dLbls>
          <c:showLegendKey val="0"/>
          <c:showVal val="0"/>
          <c:showCatName val="0"/>
          <c:showSerName val="0"/>
          <c:showPercent val="0"/>
          <c:showBubbleSize val="0"/>
        </c:dLbls>
        <c:gapWidth val="150"/>
        <c:overlap val="-25"/>
        <c:axId val="76338879"/>
        <c:axId val="76330719"/>
      </c:barChart>
      <c:catAx>
        <c:axId val="763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330719"/>
        <c:crosses val="autoZero"/>
        <c:auto val="1"/>
        <c:lblAlgn val="ctr"/>
        <c:lblOffset val="100"/>
        <c:noMultiLvlLbl val="0"/>
      </c:catAx>
      <c:valAx>
        <c:axId val="76330719"/>
        <c:scaling>
          <c:orientation val="minMax"/>
        </c:scaling>
        <c:delete val="1"/>
        <c:axPos val="b"/>
        <c:numFmt formatCode="General" sourceLinked="1"/>
        <c:majorTickMark val="none"/>
        <c:minorTickMark val="none"/>
        <c:tickLblPos val="nextTo"/>
        <c:crossAx val="76338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6">
              <a:lumMod val="40000"/>
              <a:lumOff val="60000"/>
            </a:schemeClr>
          </a:gs>
          <a:gs pos="27000">
            <a:schemeClr val="accent6">
              <a:lumMod val="60000"/>
              <a:lumOff val="40000"/>
            </a:schemeClr>
          </a:gs>
          <a:gs pos="90000">
            <a:schemeClr val="accent6">
              <a:lumMod val="73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DASHBOARD.xlsx]Surviving Children!PivotTable5</c:name>
    <c:fmtId val="2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IN" sz="1200"/>
              <a:t>TOTAL WOMEN BY EDUCATION AND AGE GROUP</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'Surviving Children'!$M$3:$M$4</c:f>
              <c:strCache>
                <c:ptCount val="1"/>
                <c:pt idx="0">
                  <c:v>Illiterate</c:v>
                </c:pt>
              </c:strCache>
            </c:strRef>
          </c:tx>
          <c:spPr>
            <a:solidFill>
              <a:schemeClr val="accent6">
                <a:lumMod val="60000"/>
                <a:lumOff val="40000"/>
              </a:schemeClr>
            </a:solidFill>
            <a:ln>
              <a:noFill/>
            </a:ln>
            <a:effectLst/>
          </c:spPr>
          <c:invertIfNegative val="0"/>
          <c:cat>
            <c:strRef>
              <c:f>'Surviving Children'!$L$5:$L$9</c:f>
              <c:strCache>
                <c:ptCount val="5"/>
                <c:pt idx="0">
                  <c:v>0-19</c:v>
                </c:pt>
                <c:pt idx="1">
                  <c:v>20-39</c:v>
                </c:pt>
                <c:pt idx="2">
                  <c:v>40-59</c:v>
                </c:pt>
                <c:pt idx="3">
                  <c:v>60-79</c:v>
                </c:pt>
                <c:pt idx="4">
                  <c:v>80+</c:v>
                </c:pt>
              </c:strCache>
            </c:strRef>
          </c:cat>
          <c:val>
            <c:numRef>
              <c:f>'Surviving Children'!$M$5:$M$9</c:f>
              <c:numCache>
                <c:formatCode>General</c:formatCode>
                <c:ptCount val="5"/>
                <c:pt idx="0">
                  <c:v>107486</c:v>
                </c:pt>
                <c:pt idx="1">
                  <c:v>47659</c:v>
                </c:pt>
                <c:pt idx="2">
                  <c:v>52200</c:v>
                </c:pt>
                <c:pt idx="3">
                  <c:v>33282</c:v>
                </c:pt>
                <c:pt idx="4">
                  <c:v>5831</c:v>
                </c:pt>
              </c:numCache>
            </c:numRef>
          </c:val>
          <c:extLst>
            <c:ext xmlns:c16="http://schemas.microsoft.com/office/drawing/2014/chart" uri="{C3380CC4-5D6E-409C-BE32-E72D297353CC}">
              <c16:uniqueId val="{00000000-1865-472D-8108-B566BE791D69}"/>
            </c:ext>
          </c:extLst>
        </c:ser>
        <c:ser>
          <c:idx val="1"/>
          <c:order val="1"/>
          <c:tx>
            <c:strRef>
              <c:f>'Surviving Children'!$N$3:$N$4</c:f>
              <c:strCache>
                <c:ptCount val="1"/>
                <c:pt idx="0">
                  <c:v>Literate</c:v>
                </c:pt>
              </c:strCache>
            </c:strRef>
          </c:tx>
          <c:spPr>
            <a:solidFill>
              <a:schemeClr val="accent2"/>
            </a:solidFill>
            <a:ln>
              <a:noFill/>
            </a:ln>
            <a:effectLst/>
          </c:spPr>
          <c:invertIfNegative val="0"/>
          <c:cat>
            <c:strRef>
              <c:f>'Surviving Children'!$L$5:$L$9</c:f>
              <c:strCache>
                <c:ptCount val="5"/>
                <c:pt idx="0">
                  <c:v>0-19</c:v>
                </c:pt>
                <c:pt idx="1">
                  <c:v>20-39</c:v>
                </c:pt>
                <c:pt idx="2">
                  <c:v>40-59</c:v>
                </c:pt>
                <c:pt idx="3">
                  <c:v>60-79</c:v>
                </c:pt>
                <c:pt idx="4">
                  <c:v>80+</c:v>
                </c:pt>
              </c:strCache>
            </c:strRef>
          </c:cat>
          <c:val>
            <c:numRef>
              <c:f>'Surviving Children'!$N$5:$N$9</c:f>
              <c:numCache>
                <c:formatCode>General</c:formatCode>
                <c:ptCount val="5"/>
                <c:pt idx="0">
                  <c:v>187806</c:v>
                </c:pt>
                <c:pt idx="1">
                  <c:v>235172</c:v>
                </c:pt>
                <c:pt idx="2">
                  <c:v>101190</c:v>
                </c:pt>
                <c:pt idx="3">
                  <c:v>28013</c:v>
                </c:pt>
                <c:pt idx="4">
                  <c:v>3320</c:v>
                </c:pt>
              </c:numCache>
            </c:numRef>
          </c:val>
          <c:extLst>
            <c:ext xmlns:c16="http://schemas.microsoft.com/office/drawing/2014/chart" uri="{C3380CC4-5D6E-409C-BE32-E72D297353CC}">
              <c16:uniqueId val="{00000001-1865-472D-8108-B566BE791D69}"/>
            </c:ext>
          </c:extLst>
        </c:ser>
        <c:dLbls>
          <c:showLegendKey val="0"/>
          <c:showVal val="0"/>
          <c:showCatName val="0"/>
          <c:showSerName val="0"/>
          <c:showPercent val="0"/>
          <c:showBubbleSize val="0"/>
        </c:dLbls>
        <c:gapWidth val="150"/>
        <c:axId val="1241430383"/>
        <c:axId val="1241453903"/>
      </c:barChart>
      <c:catAx>
        <c:axId val="1241430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453903"/>
        <c:crosses val="autoZero"/>
        <c:auto val="1"/>
        <c:lblAlgn val="ctr"/>
        <c:lblOffset val="100"/>
        <c:noMultiLvlLbl val="0"/>
      </c:catAx>
      <c:valAx>
        <c:axId val="124145390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4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0000"/>
              <a:lumOff val="40000"/>
            </a:schemeClr>
          </a:gs>
          <a:gs pos="54000">
            <a:srgbClr val="00B050"/>
          </a:gs>
          <a:gs pos="100000">
            <a:schemeClr val="accent4">
              <a:lumMod val="60000"/>
              <a:lumOff val="4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DASHBOARD.xlsx]Education!PivotTable12</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EDUCATION</a:t>
            </a:r>
            <a:r>
              <a:rPr lang="en-IN" b="1" baseline="0">
                <a:solidFill>
                  <a:schemeClr val="tx1"/>
                </a:solidFill>
              </a:rPr>
              <a:t> ATTENDANCE BY GENDER AND AREA</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AA2B5">
                  <a:shade val="30000"/>
                  <a:satMod val="115000"/>
                </a:srgbClr>
              </a:gs>
              <a:gs pos="50000">
                <a:srgbClr val="FAA2B5">
                  <a:shade val="67500"/>
                  <a:satMod val="115000"/>
                </a:srgbClr>
              </a:gs>
              <a:gs pos="100000">
                <a:srgbClr val="FAA2B5">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Education!$J$2:$J$3</c:f>
              <c:strCache>
                <c:ptCount val="1"/>
                <c:pt idx="0">
                  <c:v>Female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Education!$I$4:$I$5</c:f>
              <c:strCache>
                <c:ptCount val="2"/>
                <c:pt idx="0">
                  <c:v>Rural</c:v>
                </c:pt>
                <c:pt idx="1">
                  <c:v>Urban</c:v>
                </c:pt>
              </c:strCache>
            </c:strRef>
          </c:cat>
          <c:val>
            <c:numRef>
              <c:f>Education!$J$4:$J$5</c:f>
              <c:numCache>
                <c:formatCode>0%</c:formatCode>
                <c:ptCount val="2"/>
                <c:pt idx="0">
                  <c:v>0.59947874198752638</c:v>
                </c:pt>
                <c:pt idx="1">
                  <c:v>0.66596060095372145</c:v>
                </c:pt>
              </c:numCache>
            </c:numRef>
          </c:val>
          <c:extLst>
            <c:ext xmlns:c16="http://schemas.microsoft.com/office/drawing/2014/chart" uri="{C3380CC4-5D6E-409C-BE32-E72D297353CC}">
              <c16:uniqueId val="{00000000-7A88-4E9F-9580-56719AB494EB}"/>
            </c:ext>
          </c:extLst>
        </c:ser>
        <c:ser>
          <c:idx val="1"/>
          <c:order val="1"/>
          <c:tx>
            <c:strRef>
              <c:f>Education!$K$2:$K$3</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Education!$I$4:$I$5</c:f>
              <c:strCache>
                <c:ptCount val="2"/>
                <c:pt idx="0">
                  <c:v>Rural</c:v>
                </c:pt>
                <c:pt idx="1">
                  <c:v>Urban</c:v>
                </c:pt>
              </c:strCache>
            </c:strRef>
          </c:cat>
          <c:val>
            <c:numRef>
              <c:f>Education!$K$4:$K$5</c:f>
              <c:numCache>
                <c:formatCode>0%</c:formatCode>
                <c:ptCount val="2"/>
                <c:pt idx="0">
                  <c:v>0.62719610632812983</c:v>
                </c:pt>
                <c:pt idx="1">
                  <c:v>0.67541469444209201</c:v>
                </c:pt>
              </c:numCache>
            </c:numRef>
          </c:val>
          <c:extLst>
            <c:ext xmlns:c16="http://schemas.microsoft.com/office/drawing/2014/chart" uri="{C3380CC4-5D6E-409C-BE32-E72D297353CC}">
              <c16:uniqueId val="{00000001-7A88-4E9F-9580-56719AB494EB}"/>
            </c:ext>
          </c:extLst>
        </c:ser>
        <c:dLbls>
          <c:showLegendKey val="0"/>
          <c:showVal val="1"/>
          <c:showCatName val="0"/>
          <c:showSerName val="0"/>
          <c:showPercent val="0"/>
          <c:showBubbleSize val="0"/>
        </c:dLbls>
        <c:gapWidth val="150"/>
        <c:overlap val="-25"/>
        <c:axId val="1550118735"/>
        <c:axId val="1550138415"/>
      </c:barChart>
      <c:catAx>
        <c:axId val="155011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0138415"/>
        <c:crosses val="autoZero"/>
        <c:auto val="1"/>
        <c:lblAlgn val="ctr"/>
        <c:lblOffset val="100"/>
        <c:noMultiLvlLbl val="0"/>
      </c:catAx>
      <c:valAx>
        <c:axId val="1550138415"/>
        <c:scaling>
          <c:orientation val="minMax"/>
        </c:scaling>
        <c:delete val="1"/>
        <c:axPos val="l"/>
        <c:numFmt formatCode="0%" sourceLinked="1"/>
        <c:majorTickMark val="none"/>
        <c:minorTickMark val="none"/>
        <c:tickLblPos val="nextTo"/>
        <c:crossAx val="155011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78000">
            <a:schemeClr val="accent4">
              <a:lumMod val="75000"/>
            </a:schemeClr>
          </a:gs>
          <a:gs pos="0">
            <a:schemeClr val="accent4">
              <a:lumMod val="60000"/>
              <a:lumOff val="40000"/>
            </a:schemeClr>
          </a:gs>
          <a:gs pos="100000">
            <a:schemeClr val="accent4">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DASHBOARD.xlsx]Education!PivotTable14</c:name>
    <c:fmtId val="18"/>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OVERALL</a:t>
            </a:r>
            <a:r>
              <a:rPr lang="en-US" sz="1050" b="1" baseline="0">
                <a:solidFill>
                  <a:schemeClr val="tx1"/>
                </a:solidFill>
              </a:rPr>
              <a:t> ATTENDANCE RATE BY GENDER</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AA2B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FAA2B5"/>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rgbClr val="FAA2B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FAA2B5"/>
          </a:solidFill>
          <a:ln w="19050">
            <a:solidFill>
              <a:schemeClr val="lt1"/>
            </a:solidFill>
          </a:ln>
          <a:effectLst/>
        </c:spPr>
      </c:pivotFmt>
      <c:pivotFmt>
        <c:idx val="5"/>
        <c:spPr>
          <a:solidFill>
            <a:srgbClr val="00B0F0"/>
          </a:solidFill>
          <a:ln w="19050">
            <a:solidFill>
              <a:schemeClr val="lt1"/>
            </a:solidFill>
          </a:ln>
          <a:effectLst/>
        </c:spPr>
      </c:pivotFmt>
      <c:pivotFmt>
        <c:idx val="6"/>
        <c:spPr>
          <a:solidFill>
            <a:srgbClr val="FAA2B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AA2B5"/>
          </a:solidFill>
          <a:ln w="19050">
            <a:solidFill>
              <a:schemeClr val="lt1"/>
            </a:solidFill>
          </a:ln>
          <a:effectLst/>
        </c:spPr>
      </c:pivotFmt>
      <c:pivotFmt>
        <c:idx val="8"/>
        <c:spPr>
          <a:solidFill>
            <a:srgbClr val="00B0F0"/>
          </a:solidFill>
          <a:ln w="19050">
            <a:solidFill>
              <a:schemeClr val="lt1"/>
            </a:solidFill>
          </a:ln>
          <a:effectLst/>
        </c:spPr>
      </c:pivotFmt>
    </c:pivotFmts>
    <c:plotArea>
      <c:layout/>
      <c:doughnutChart>
        <c:varyColors val="1"/>
        <c:ser>
          <c:idx val="0"/>
          <c:order val="0"/>
          <c:tx>
            <c:strRef>
              <c:f>Education!$Q$2</c:f>
              <c:strCache>
                <c:ptCount val="1"/>
                <c:pt idx="0">
                  <c:v>Total</c:v>
                </c:pt>
              </c:strCache>
            </c:strRef>
          </c:tx>
          <c:spPr>
            <a:solidFill>
              <a:srgbClr val="FAA2B5"/>
            </a:solidFill>
          </c:spPr>
          <c:dPt>
            <c:idx val="0"/>
            <c:bubble3D val="0"/>
            <c:spPr>
              <a:solidFill>
                <a:srgbClr val="FAA2B5"/>
              </a:solidFill>
              <a:ln w="19050">
                <a:solidFill>
                  <a:schemeClr val="lt1"/>
                </a:solidFill>
              </a:ln>
              <a:effectLst/>
            </c:spPr>
            <c:extLst>
              <c:ext xmlns:c16="http://schemas.microsoft.com/office/drawing/2014/chart" uri="{C3380CC4-5D6E-409C-BE32-E72D297353CC}">
                <c16:uniqueId val="{00000001-09DC-45A9-A86A-EA5BB090DB4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09DC-45A9-A86A-EA5BB090DB43}"/>
              </c:ext>
            </c:extLst>
          </c:dPt>
          <c:cat>
            <c:strRef>
              <c:f>Education!$P$3:$P$5</c:f>
              <c:strCache>
                <c:ptCount val="2"/>
                <c:pt idx="0">
                  <c:v>Female</c:v>
                </c:pt>
                <c:pt idx="1">
                  <c:v>Male</c:v>
                </c:pt>
              </c:strCache>
            </c:strRef>
          </c:cat>
          <c:val>
            <c:numRef>
              <c:f>Education!$Q$3:$Q$5</c:f>
              <c:numCache>
                <c:formatCode>0%</c:formatCode>
                <c:ptCount val="2"/>
                <c:pt idx="0">
                  <c:v>0.21090655715687465</c:v>
                </c:pt>
                <c:pt idx="1">
                  <c:v>0.21710180012837033</c:v>
                </c:pt>
              </c:numCache>
            </c:numRef>
          </c:val>
          <c:extLst>
            <c:ext xmlns:c16="http://schemas.microsoft.com/office/drawing/2014/chart" uri="{C3380CC4-5D6E-409C-BE32-E72D297353CC}">
              <c16:uniqueId val="{00000004-09DC-45A9-A86A-EA5BB090DB43}"/>
            </c:ext>
          </c:extLst>
        </c:ser>
        <c:dLbls>
          <c:showLegendKey val="0"/>
          <c:showVal val="0"/>
          <c:showCatName val="0"/>
          <c:showSerName val="0"/>
          <c:showPercent val="0"/>
          <c:showBubbleSize val="0"/>
          <c:showLeaderLines val="1"/>
        </c:dLbls>
        <c:firstSliceAng val="166"/>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DASHBOARD.xlsx]Education!PivotTable13</c:name>
    <c:fmtId val="1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ATTENDANCE RATE BY AREA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8100000" scaled="1"/>
            <a:tileRect/>
          </a:gradFill>
          <a:ln>
            <a:noFill/>
          </a:ln>
          <a:effectLst/>
        </c:spPr>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t="100000" r="100000"/>
            </a:path>
            <a:tileRect l="-100000" b="-10000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t="100000" r="100000"/>
            </a:path>
            <a:tileRect l="-100000" b="-100000"/>
          </a:gradFill>
          <a:ln>
            <a:noFill/>
          </a:ln>
          <a:effectLst/>
        </c:spPr>
      </c:pivotFmt>
      <c:pivotFmt>
        <c:idx val="5"/>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8100000" scaled="1"/>
            <a:tileRect/>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pivotFmt>
      <c:pivotFmt>
        <c:idx val="8"/>
        <c:spPr>
          <a:solidFill>
            <a:schemeClr val="accent2">
              <a:lumMod val="20000"/>
              <a:lumOff val="80000"/>
            </a:schemeClr>
          </a:soli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40000"/>
              <a:lumOff val="60000"/>
            </a:schemeClr>
          </a:solidFill>
          <a:ln>
            <a:noFill/>
          </a:ln>
          <a:effectLst/>
        </c:spPr>
      </c:pivotFmt>
      <c:pivotFmt>
        <c:idx val="11"/>
        <c:spPr>
          <a:solidFill>
            <a:schemeClr val="accent2">
              <a:lumMod val="20000"/>
              <a:lumOff val="80000"/>
            </a:schemeClr>
          </a:soli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40000"/>
              <a:lumOff val="60000"/>
            </a:schemeClr>
          </a:solidFill>
          <a:ln>
            <a:noFill/>
          </a:ln>
          <a:effectLst/>
        </c:spPr>
      </c:pivotFmt>
      <c:pivotFmt>
        <c:idx val="14"/>
        <c:spPr>
          <a:solidFill>
            <a:schemeClr val="accent2">
              <a:lumMod val="20000"/>
              <a:lumOff val="80000"/>
            </a:schemeClr>
          </a:solidFill>
          <a:ln>
            <a:noFill/>
          </a:ln>
          <a:effectLst/>
        </c:spPr>
      </c:pivotFmt>
    </c:pivotFmts>
    <c:plotArea>
      <c:layout/>
      <c:barChart>
        <c:barDir val="bar"/>
        <c:grouping val="clustered"/>
        <c:varyColors val="0"/>
        <c:ser>
          <c:idx val="0"/>
          <c:order val="0"/>
          <c:tx>
            <c:strRef>
              <c:f>Education!$N$2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1-2036-48F5-B04F-772A1CF81E81}"/>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2036-48F5-B04F-772A1CF81E81}"/>
              </c:ext>
            </c:extLst>
          </c:dPt>
          <c:cat>
            <c:strRef>
              <c:f>Education!$M$3:$M$5</c:f>
              <c:strCache>
                <c:ptCount val="2"/>
                <c:pt idx="0">
                  <c:v>Rural</c:v>
                </c:pt>
                <c:pt idx="1">
                  <c:v>Urban</c:v>
                </c:pt>
              </c:strCache>
            </c:strRef>
          </c:cat>
          <c:val>
            <c:numRef>
              <c:f>Education!$N$3:$N$5</c:f>
              <c:numCache>
                <c:formatCode>0%</c:formatCode>
                <c:ptCount val="2"/>
                <c:pt idx="0">
                  <c:v>0.20444580805260934</c:v>
                </c:pt>
                <c:pt idx="1">
                  <c:v>0.22356254923263555</c:v>
                </c:pt>
              </c:numCache>
            </c:numRef>
          </c:val>
          <c:extLst>
            <c:ext xmlns:c16="http://schemas.microsoft.com/office/drawing/2014/chart" uri="{C3380CC4-5D6E-409C-BE32-E72D297353CC}">
              <c16:uniqueId val="{00000004-2036-48F5-B04F-772A1CF81E81}"/>
            </c:ext>
          </c:extLst>
        </c:ser>
        <c:dLbls>
          <c:showLegendKey val="0"/>
          <c:showVal val="0"/>
          <c:showCatName val="0"/>
          <c:showSerName val="0"/>
          <c:showPercent val="0"/>
          <c:showBubbleSize val="0"/>
        </c:dLbls>
        <c:gapWidth val="75"/>
        <c:overlap val="-25"/>
        <c:axId val="1550130255"/>
        <c:axId val="1550140335"/>
      </c:barChart>
      <c:catAx>
        <c:axId val="15501302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550140335"/>
        <c:crosses val="autoZero"/>
        <c:auto val="1"/>
        <c:lblAlgn val="ctr"/>
        <c:lblOffset val="100"/>
        <c:noMultiLvlLbl val="0"/>
      </c:catAx>
      <c:valAx>
        <c:axId val="1550140335"/>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013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76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DASHBOARD.xlsx]Education!PivotTable15</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ATTENDANCE</a:t>
            </a:r>
            <a:r>
              <a:rPr lang="en-IN" baseline="0"/>
              <a:t> RATE BY AGE GROUP</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Education!$T$2</c:f>
              <c:strCache>
                <c:ptCount val="1"/>
                <c:pt idx="0">
                  <c:v>Total</c:v>
                </c:pt>
              </c:strCache>
            </c:strRef>
          </c:tx>
          <c:spPr>
            <a:ln w="31750" cap="rnd">
              <a:solidFill>
                <a:srgbClr val="FF0000"/>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FF0000"/>
                </a:solidFill>
                <a:round/>
              </a:ln>
              <a:effectLst/>
            </c:spPr>
          </c:marker>
          <c:cat>
            <c:strRef>
              <c:f>Education!$S$3:$S$6</c:f>
              <c:strCache>
                <c:ptCount val="3"/>
                <c:pt idx="0">
                  <c:v>0-24</c:v>
                </c:pt>
                <c:pt idx="1">
                  <c:v>25-59</c:v>
                </c:pt>
                <c:pt idx="2">
                  <c:v>60+</c:v>
                </c:pt>
              </c:strCache>
            </c:strRef>
          </c:cat>
          <c:val>
            <c:numRef>
              <c:f>Education!$T$3:$T$6</c:f>
              <c:numCache>
                <c:formatCode>0%</c:formatCode>
                <c:ptCount val="3"/>
                <c:pt idx="0">
                  <c:v>0.60016048543349387</c:v>
                </c:pt>
                <c:pt idx="1">
                  <c:v>2.863174053649711E-2</c:v>
                </c:pt>
                <c:pt idx="2">
                  <c:v>1.3220309957876436E-2</c:v>
                </c:pt>
              </c:numCache>
            </c:numRef>
          </c:val>
          <c:smooth val="0"/>
          <c:extLst>
            <c:ext xmlns:c16="http://schemas.microsoft.com/office/drawing/2014/chart" uri="{C3380CC4-5D6E-409C-BE32-E72D297353CC}">
              <c16:uniqueId val="{00000000-92B7-45FA-A2E2-D168EE8A3126}"/>
            </c:ext>
          </c:extLst>
        </c:ser>
        <c:dLbls>
          <c:showLegendKey val="0"/>
          <c:showVal val="0"/>
          <c:showCatName val="0"/>
          <c:showSerName val="0"/>
          <c:showPercent val="0"/>
          <c:showBubbleSize val="0"/>
        </c:dLbls>
        <c:marker val="1"/>
        <c:smooth val="0"/>
        <c:axId val="672336591"/>
        <c:axId val="672331311"/>
      </c:lineChart>
      <c:catAx>
        <c:axId val="6723365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331311"/>
        <c:crosses val="autoZero"/>
        <c:auto val="1"/>
        <c:lblAlgn val="ctr"/>
        <c:lblOffset val="100"/>
        <c:noMultiLvlLbl val="0"/>
      </c:catAx>
      <c:valAx>
        <c:axId val="67233131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3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Status!PivotTable22</c:name>
    <c:fmtId val="26"/>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TOTAL</a:t>
            </a:r>
            <a:r>
              <a:rPr lang="en-IN" sz="1200" b="1" baseline="0">
                <a:solidFill>
                  <a:schemeClr val="tx1"/>
                </a:solidFill>
              </a:rPr>
              <a:t> POPULATION BY MARITAL STATUS AND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'Marital Status'!$Q$15:$Q$16</c:f>
              <c:strCache>
                <c:ptCount val="1"/>
                <c:pt idx="0">
                  <c:v>Rural</c:v>
                </c:pt>
              </c:strCache>
            </c:strRef>
          </c:tx>
          <c:spPr>
            <a:ln w="28575" cap="rnd">
              <a:solidFill>
                <a:schemeClr val="accent1"/>
              </a:solidFill>
              <a:round/>
            </a:ln>
            <a:effectLst/>
          </c:spPr>
          <c:marker>
            <c:symbol val="none"/>
          </c:marker>
          <c:cat>
            <c:strRef>
              <c:f>'Marital Status'!$P$17:$P$21</c:f>
              <c:strCache>
                <c:ptCount val="5"/>
                <c:pt idx="0">
                  <c:v>Divorced</c:v>
                </c:pt>
                <c:pt idx="1">
                  <c:v>Married</c:v>
                </c:pt>
                <c:pt idx="2">
                  <c:v>Never married</c:v>
                </c:pt>
                <c:pt idx="3">
                  <c:v>Separated</c:v>
                </c:pt>
                <c:pt idx="4">
                  <c:v>Widowed</c:v>
                </c:pt>
              </c:strCache>
            </c:strRef>
          </c:cat>
          <c:val>
            <c:numRef>
              <c:f>'Marital Status'!$Q$17:$Q$21</c:f>
              <c:numCache>
                <c:formatCode>General</c:formatCode>
                <c:ptCount val="5"/>
                <c:pt idx="0">
                  <c:v>730</c:v>
                </c:pt>
                <c:pt idx="1">
                  <c:v>339536</c:v>
                </c:pt>
                <c:pt idx="2">
                  <c:v>381789</c:v>
                </c:pt>
                <c:pt idx="3">
                  <c:v>1533</c:v>
                </c:pt>
                <c:pt idx="4">
                  <c:v>31165</c:v>
                </c:pt>
              </c:numCache>
            </c:numRef>
          </c:val>
          <c:smooth val="0"/>
          <c:extLst>
            <c:ext xmlns:c16="http://schemas.microsoft.com/office/drawing/2014/chart" uri="{C3380CC4-5D6E-409C-BE32-E72D297353CC}">
              <c16:uniqueId val="{00000000-EF95-4BB5-9D59-EAF19415EEBE}"/>
            </c:ext>
          </c:extLst>
        </c:ser>
        <c:ser>
          <c:idx val="1"/>
          <c:order val="1"/>
          <c:tx>
            <c:strRef>
              <c:f>'Marital Status'!$R$15:$R$16</c:f>
              <c:strCache>
                <c:ptCount val="1"/>
                <c:pt idx="0">
                  <c:v>Urban</c:v>
                </c:pt>
              </c:strCache>
            </c:strRef>
          </c:tx>
          <c:spPr>
            <a:ln w="28575" cap="rnd">
              <a:solidFill>
                <a:schemeClr val="accent2"/>
              </a:solidFill>
              <a:round/>
            </a:ln>
            <a:effectLst/>
          </c:spPr>
          <c:marker>
            <c:symbol val="none"/>
          </c:marker>
          <c:cat>
            <c:strRef>
              <c:f>'Marital Status'!$P$17:$P$21</c:f>
              <c:strCache>
                <c:ptCount val="5"/>
                <c:pt idx="0">
                  <c:v>Divorced</c:v>
                </c:pt>
                <c:pt idx="1">
                  <c:v>Married</c:v>
                </c:pt>
                <c:pt idx="2">
                  <c:v>Never married</c:v>
                </c:pt>
                <c:pt idx="3">
                  <c:v>Separated</c:v>
                </c:pt>
                <c:pt idx="4">
                  <c:v>Widowed</c:v>
                </c:pt>
              </c:strCache>
            </c:strRef>
          </c:cat>
          <c:val>
            <c:numRef>
              <c:f>'Marital Status'!$R$17:$R$21</c:f>
              <c:numCache>
                <c:formatCode>General</c:formatCode>
                <c:ptCount val="5"/>
                <c:pt idx="0">
                  <c:v>1098</c:v>
                </c:pt>
                <c:pt idx="1">
                  <c:v>457260</c:v>
                </c:pt>
                <c:pt idx="2">
                  <c:v>443349</c:v>
                </c:pt>
                <c:pt idx="3">
                  <c:v>1824</c:v>
                </c:pt>
                <c:pt idx="4">
                  <c:v>38410</c:v>
                </c:pt>
              </c:numCache>
            </c:numRef>
          </c:val>
          <c:smooth val="0"/>
          <c:extLst>
            <c:ext xmlns:c16="http://schemas.microsoft.com/office/drawing/2014/chart" uri="{C3380CC4-5D6E-409C-BE32-E72D297353CC}">
              <c16:uniqueId val="{00000001-EF95-4BB5-9D59-EAF19415EEBE}"/>
            </c:ext>
          </c:extLst>
        </c:ser>
        <c:dLbls>
          <c:showLegendKey val="0"/>
          <c:showVal val="0"/>
          <c:showCatName val="0"/>
          <c:showSerName val="0"/>
          <c:showPercent val="0"/>
          <c:showBubbleSize val="0"/>
        </c:dLbls>
        <c:smooth val="0"/>
        <c:axId val="623071247"/>
        <c:axId val="623080847"/>
      </c:lineChart>
      <c:catAx>
        <c:axId val="6230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3080847"/>
        <c:crosses val="autoZero"/>
        <c:auto val="1"/>
        <c:lblAlgn val="ctr"/>
        <c:lblOffset val="100"/>
        <c:noMultiLvlLbl val="0"/>
      </c:catAx>
      <c:valAx>
        <c:axId val="6230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3071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DIVORCED</a:t>
            </a:r>
            <a:r>
              <a:rPr lang="en-US" sz="1400" b="1" baseline="0">
                <a:solidFill>
                  <a:schemeClr val="tx1"/>
                </a:solidFill>
              </a:rPr>
              <a:t> POPULATION BY AREA</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tx>
            <c:strRef>
              <c:f>'Marital Status'!$N$15</c:f>
              <c:strCache>
                <c:ptCount val="1"/>
                <c:pt idx="0">
                  <c:v>Divorced</c:v>
                </c:pt>
              </c:strCache>
            </c:strRef>
          </c:tx>
          <c:spPr>
            <a:solidFill>
              <a:srgbClr val="FF9966"/>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9C0F-4465-AD26-18EF48BF0911}"/>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9C0F-4465-AD26-18EF48BF091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 Status'!$M$16:$M$17</c:f>
              <c:strCache>
                <c:ptCount val="2"/>
                <c:pt idx="0">
                  <c:v>Rural</c:v>
                </c:pt>
                <c:pt idx="1">
                  <c:v>Urban</c:v>
                </c:pt>
              </c:strCache>
            </c:strRef>
          </c:cat>
          <c:val>
            <c:numRef>
              <c:f>'Marital Status'!$N$16:$N$17</c:f>
              <c:numCache>
                <c:formatCode>General</c:formatCode>
                <c:ptCount val="2"/>
                <c:pt idx="0">
                  <c:v>730</c:v>
                </c:pt>
                <c:pt idx="1">
                  <c:v>1098</c:v>
                </c:pt>
              </c:numCache>
            </c:numRef>
          </c:val>
          <c:extLst>
            <c:ext xmlns:c16="http://schemas.microsoft.com/office/drawing/2014/chart" uri="{C3380CC4-5D6E-409C-BE32-E72D297353CC}">
              <c16:uniqueId val="{00000004-9C0F-4465-AD26-18EF48BF0911}"/>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Status!PivotTable20</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RELIGION</a:t>
            </a:r>
            <a:r>
              <a:rPr lang="en-IN" b="1" baseline="0">
                <a:solidFill>
                  <a:schemeClr val="tx1"/>
                </a:solidFill>
              </a:rPr>
              <a:t> WISE POPULATION TOTAL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rgbClr val="FFFF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pivotFmt>
      <c:pivotFmt>
        <c:idx val="15"/>
        <c:spPr>
          <a:solidFill>
            <a:srgbClr val="FFFF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c:spPr>
      </c:pivotFmt>
      <c:pivotFmt>
        <c:idx val="24"/>
        <c:spPr>
          <a:solidFill>
            <a:srgbClr val="FFFF00"/>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'Marital Status'!$U$15</c:f>
              <c:strCache>
                <c:ptCount val="1"/>
                <c:pt idx="0">
                  <c:v>Sum of Jain Total Population</c:v>
                </c:pt>
              </c:strCache>
            </c:strRef>
          </c:tx>
          <c:spPr>
            <a:solidFill>
              <a:schemeClr val="accent1"/>
            </a:solidFill>
            <a:ln>
              <a:noFill/>
            </a:ln>
            <a:effectLst/>
          </c:spPr>
          <c:invertIfNegative val="0"/>
          <c:cat>
            <c:strRef>
              <c:f>'Marital Status'!$T$16:$T$17</c:f>
              <c:strCache>
                <c:ptCount val="2"/>
                <c:pt idx="0">
                  <c:v>Rural</c:v>
                </c:pt>
                <c:pt idx="1">
                  <c:v>Urban</c:v>
                </c:pt>
              </c:strCache>
            </c:strRef>
          </c:cat>
          <c:val>
            <c:numRef>
              <c:f>'Marital Status'!$U$16:$U$17</c:f>
              <c:numCache>
                <c:formatCode>General</c:formatCode>
                <c:ptCount val="2"/>
                <c:pt idx="0">
                  <c:v>391</c:v>
                </c:pt>
                <c:pt idx="1">
                  <c:v>4726</c:v>
                </c:pt>
              </c:numCache>
            </c:numRef>
          </c:val>
          <c:extLst>
            <c:ext xmlns:c16="http://schemas.microsoft.com/office/drawing/2014/chart" uri="{C3380CC4-5D6E-409C-BE32-E72D297353CC}">
              <c16:uniqueId val="{00000000-E830-4B42-AE85-F9CCAD9F12CF}"/>
            </c:ext>
          </c:extLst>
        </c:ser>
        <c:ser>
          <c:idx val="1"/>
          <c:order val="1"/>
          <c:tx>
            <c:strRef>
              <c:f>'Marital Status'!$V$15</c:f>
              <c:strCache>
                <c:ptCount val="1"/>
                <c:pt idx="0">
                  <c:v>Sum of Other Total Population</c:v>
                </c:pt>
              </c:strCache>
            </c:strRef>
          </c:tx>
          <c:spPr>
            <a:solidFill>
              <a:schemeClr val="accent2"/>
            </a:solidFill>
            <a:ln>
              <a:noFill/>
            </a:ln>
            <a:effectLst/>
          </c:spPr>
          <c:invertIfNegative val="0"/>
          <c:cat>
            <c:strRef>
              <c:f>'Marital Status'!$T$16:$T$17</c:f>
              <c:strCache>
                <c:ptCount val="2"/>
                <c:pt idx="0">
                  <c:v>Rural</c:v>
                </c:pt>
                <c:pt idx="1">
                  <c:v>Urban</c:v>
                </c:pt>
              </c:strCache>
            </c:strRef>
          </c:cat>
          <c:val>
            <c:numRef>
              <c:f>'Marital Status'!$V$16:$V$17</c:f>
              <c:numCache>
                <c:formatCode>General</c:formatCode>
                <c:ptCount val="2"/>
                <c:pt idx="0">
                  <c:v>92</c:v>
                </c:pt>
                <c:pt idx="1">
                  <c:v>125</c:v>
                </c:pt>
              </c:numCache>
            </c:numRef>
          </c:val>
          <c:extLst>
            <c:ext xmlns:c16="http://schemas.microsoft.com/office/drawing/2014/chart" uri="{C3380CC4-5D6E-409C-BE32-E72D297353CC}">
              <c16:uniqueId val="{00000001-E830-4B42-AE85-F9CCAD9F12CF}"/>
            </c:ext>
          </c:extLst>
        </c:ser>
        <c:ser>
          <c:idx val="2"/>
          <c:order val="2"/>
          <c:tx>
            <c:strRef>
              <c:f>'Marital Status'!$W$15</c:f>
              <c:strCache>
                <c:ptCount val="1"/>
                <c:pt idx="0">
                  <c:v>Sum of Total Hindu Population</c:v>
                </c:pt>
              </c:strCache>
            </c:strRef>
          </c:tx>
          <c:spPr>
            <a:solidFill>
              <a:schemeClr val="accent2">
                <a:lumMod val="60000"/>
                <a:lumOff val="40000"/>
              </a:schemeClr>
            </a:solidFill>
            <a:ln>
              <a:noFill/>
            </a:ln>
            <a:effectLst/>
          </c:spPr>
          <c:invertIfNegative val="0"/>
          <c:cat>
            <c:strRef>
              <c:f>'Marital Status'!$T$16:$T$17</c:f>
              <c:strCache>
                <c:ptCount val="2"/>
                <c:pt idx="0">
                  <c:v>Rural</c:v>
                </c:pt>
                <c:pt idx="1">
                  <c:v>Urban</c:v>
                </c:pt>
              </c:strCache>
            </c:strRef>
          </c:cat>
          <c:val>
            <c:numRef>
              <c:f>'Marital Status'!$W$16:$W$17</c:f>
              <c:numCache>
                <c:formatCode>General</c:formatCode>
                <c:ptCount val="2"/>
                <c:pt idx="0">
                  <c:v>633762</c:v>
                </c:pt>
                <c:pt idx="1">
                  <c:v>791154</c:v>
                </c:pt>
              </c:numCache>
            </c:numRef>
          </c:val>
          <c:extLst>
            <c:ext xmlns:c16="http://schemas.microsoft.com/office/drawing/2014/chart" uri="{C3380CC4-5D6E-409C-BE32-E72D297353CC}">
              <c16:uniqueId val="{00000002-E830-4B42-AE85-F9CCAD9F12CF}"/>
            </c:ext>
          </c:extLst>
        </c:ser>
        <c:ser>
          <c:idx val="3"/>
          <c:order val="3"/>
          <c:tx>
            <c:strRef>
              <c:f>'Marital Status'!$X$15</c:f>
              <c:strCache>
                <c:ptCount val="1"/>
                <c:pt idx="0">
                  <c:v>Sum of Buddhist Total Population</c:v>
                </c:pt>
              </c:strCache>
            </c:strRef>
          </c:tx>
          <c:spPr>
            <a:solidFill>
              <a:schemeClr val="accent2">
                <a:lumMod val="75000"/>
              </a:schemeClr>
            </a:solidFill>
            <a:ln>
              <a:noFill/>
            </a:ln>
            <a:effectLst/>
          </c:spPr>
          <c:invertIfNegative val="0"/>
          <c:cat>
            <c:strRef>
              <c:f>'Marital Status'!$T$16:$T$17</c:f>
              <c:strCache>
                <c:ptCount val="2"/>
                <c:pt idx="0">
                  <c:v>Rural</c:v>
                </c:pt>
                <c:pt idx="1">
                  <c:v>Urban</c:v>
                </c:pt>
              </c:strCache>
            </c:strRef>
          </c:cat>
          <c:val>
            <c:numRef>
              <c:f>'Marital Status'!$X$16:$X$17</c:f>
              <c:numCache>
                <c:formatCode>General</c:formatCode>
                <c:ptCount val="2"/>
                <c:pt idx="0">
                  <c:v>5823</c:v>
                </c:pt>
                <c:pt idx="1">
                  <c:v>5955</c:v>
                </c:pt>
              </c:numCache>
            </c:numRef>
          </c:val>
          <c:extLst>
            <c:ext xmlns:c16="http://schemas.microsoft.com/office/drawing/2014/chart" uri="{C3380CC4-5D6E-409C-BE32-E72D297353CC}">
              <c16:uniqueId val="{00000003-E830-4B42-AE85-F9CCAD9F12CF}"/>
            </c:ext>
          </c:extLst>
        </c:ser>
        <c:ser>
          <c:idx val="4"/>
          <c:order val="4"/>
          <c:tx>
            <c:strRef>
              <c:f>'Marital Status'!$Y$15</c:f>
              <c:strCache>
                <c:ptCount val="1"/>
                <c:pt idx="0">
                  <c:v>Sum of Sikh Total Population</c:v>
                </c:pt>
              </c:strCache>
            </c:strRef>
          </c:tx>
          <c:spPr>
            <a:solidFill>
              <a:schemeClr val="accent4">
                <a:lumMod val="75000"/>
              </a:schemeClr>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5-E830-4B42-AE85-F9CCAD9F12CF}"/>
              </c:ext>
            </c:extLst>
          </c:dPt>
          <c:dPt>
            <c:idx val="1"/>
            <c:invertIfNegative val="0"/>
            <c:bubble3D val="0"/>
            <c:spPr>
              <a:solidFill>
                <a:srgbClr val="FFFF00"/>
              </a:solidFill>
              <a:ln>
                <a:noFill/>
              </a:ln>
              <a:effectLst/>
            </c:spPr>
            <c:extLst>
              <c:ext xmlns:c16="http://schemas.microsoft.com/office/drawing/2014/chart" uri="{C3380CC4-5D6E-409C-BE32-E72D297353CC}">
                <c16:uniqueId val="{00000007-E830-4B42-AE85-F9CCAD9F12CF}"/>
              </c:ext>
            </c:extLst>
          </c:dPt>
          <c:cat>
            <c:strRef>
              <c:f>'Marital Status'!$T$16:$T$17</c:f>
              <c:strCache>
                <c:ptCount val="2"/>
                <c:pt idx="0">
                  <c:v>Rural</c:v>
                </c:pt>
                <c:pt idx="1">
                  <c:v>Urban</c:v>
                </c:pt>
              </c:strCache>
            </c:strRef>
          </c:cat>
          <c:val>
            <c:numRef>
              <c:f>'Marital Status'!$Y$16:$Y$17</c:f>
              <c:numCache>
                <c:formatCode>General</c:formatCode>
                <c:ptCount val="2"/>
                <c:pt idx="0">
                  <c:v>9486</c:v>
                </c:pt>
                <c:pt idx="1">
                  <c:v>26968</c:v>
                </c:pt>
              </c:numCache>
            </c:numRef>
          </c:val>
          <c:extLst>
            <c:ext xmlns:c16="http://schemas.microsoft.com/office/drawing/2014/chart" uri="{C3380CC4-5D6E-409C-BE32-E72D297353CC}">
              <c16:uniqueId val="{00000008-E830-4B42-AE85-F9CCAD9F12CF}"/>
            </c:ext>
          </c:extLst>
        </c:ser>
        <c:ser>
          <c:idx val="5"/>
          <c:order val="5"/>
          <c:tx>
            <c:strRef>
              <c:f>'Marital Status'!$Z$15</c:f>
              <c:strCache>
                <c:ptCount val="1"/>
                <c:pt idx="0">
                  <c:v>Sum of Total Muslim Population</c:v>
                </c:pt>
              </c:strCache>
            </c:strRef>
          </c:tx>
          <c:spPr>
            <a:solidFill>
              <a:schemeClr val="accent6"/>
            </a:solidFill>
            <a:ln>
              <a:noFill/>
            </a:ln>
            <a:effectLst/>
          </c:spPr>
          <c:invertIfNegative val="0"/>
          <c:cat>
            <c:strRef>
              <c:f>'Marital Status'!$T$16:$T$17</c:f>
              <c:strCache>
                <c:ptCount val="2"/>
                <c:pt idx="0">
                  <c:v>Rural</c:v>
                </c:pt>
                <c:pt idx="1">
                  <c:v>Urban</c:v>
                </c:pt>
              </c:strCache>
            </c:strRef>
          </c:cat>
          <c:val>
            <c:numRef>
              <c:f>'Marital Status'!$Z$16:$Z$17</c:f>
              <c:numCache>
                <c:formatCode>General</c:formatCode>
                <c:ptCount val="2"/>
                <c:pt idx="0">
                  <c:v>100092</c:v>
                </c:pt>
                <c:pt idx="1">
                  <c:v>101965</c:v>
                </c:pt>
              </c:numCache>
            </c:numRef>
          </c:val>
          <c:extLst>
            <c:ext xmlns:c16="http://schemas.microsoft.com/office/drawing/2014/chart" uri="{C3380CC4-5D6E-409C-BE32-E72D297353CC}">
              <c16:uniqueId val="{00000009-E830-4B42-AE85-F9CCAD9F12CF}"/>
            </c:ext>
          </c:extLst>
        </c:ser>
        <c:ser>
          <c:idx val="6"/>
          <c:order val="6"/>
          <c:tx>
            <c:strRef>
              <c:f>'Marital Status'!$AA$15</c:f>
              <c:strCache>
                <c:ptCount val="1"/>
                <c:pt idx="0">
                  <c:v>Sum of Christian Total Population</c:v>
                </c:pt>
              </c:strCache>
            </c:strRef>
          </c:tx>
          <c:spPr>
            <a:solidFill>
              <a:srgbClr val="FF0000"/>
            </a:solidFill>
            <a:ln>
              <a:noFill/>
            </a:ln>
            <a:effectLst/>
          </c:spPr>
          <c:invertIfNegative val="0"/>
          <c:cat>
            <c:strRef>
              <c:f>'Marital Status'!$T$16:$T$17</c:f>
              <c:strCache>
                <c:ptCount val="2"/>
                <c:pt idx="0">
                  <c:v>Rural</c:v>
                </c:pt>
                <c:pt idx="1">
                  <c:v>Urban</c:v>
                </c:pt>
              </c:strCache>
            </c:strRef>
          </c:cat>
          <c:val>
            <c:numRef>
              <c:f>'Marital Status'!$AA$16:$AA$17</c:f>
              <c:numCache>
                <c:formatCode>General</c:formatCode>
                <c:ptCount val="2"/>
                <c:pt idx="0">
                  <c:v>4167</c:v>
                </c:pt>
                <c:pt idx="1">
                  <c:v>9249</c:v>
                </c:pt>
              </c:numCache>
            </c:numRef>
          </c:val>
          <c:extLst>
            <c:ext xmlns:c16="http://schemas.microsoft.com/office/drawing/2014/chart" uri="{C3380CC4-5D6E-409C-BE32-E72D297353CC}">
              <c16:uniqueId val="{0000000A-E830-4B42-AE85-F9CCAD9F12CF}"/>
            </c:ext>
          </c:extLst>
        </c:ser>
        <c:dLbls>
          <c:showLegendKey val="0"/>
          <c:showVal val="0"/>
          <c:showCatName val="0"/>
          <c:showSerName val="0"/>
          <c:showPercent val="0"/>
          <c:showBubbleSize val="0"/>
        </c:dLbls>
        <c:gapWidth val="55"/>
        <c:overlap val="100"/>
        <c:axId val="984601039"/>
        <c:axId val="984601519"/>
      </c:barChart>
      <c:catAx>
        <c:axId val="98460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4601519"/>
        <c:crosses val="autoZero"/>
        <c:auto val="1"/>
        <c:lblAlgn val="ctr"/>
        <c:lblOffset val="100"/>
        <c:noMultiLvlLbl val="0"/>
      </c:catAx>
      <c:valAx>
        <c:axId val="98460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46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6">
              <a:lumMod val="40000"/>
              <a:lumOff val="60000"/>
            </a:schemeClr>
          </a:gs>
          <a:gs pos="37000">
            <a:schemeClr val="accent6">
              <a:lumMod val="75000"/>
            </a:schemeClr>
          </a:gs>
          <a:gs pos="100000">
            <a:schemeClr val="accent6">
              <a:lumMod val="5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[DEHRADUN DASHBOARD.xlsx]Marital Status!PivotTable18</c:name>
    <c:fmtId val="2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MARITAL</a:t>
            </a:r>
            <a:r>
              <a:rPr lang="en-IN" sz="1200" b="1" baseline="0">
                <a:solidFill>
                  <a:schemeClr val="tx1"/>
                </a:solidFill>
              </a:rPr>
              <a:t> STATUS BREAKDOWN BY AREA</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IN"/>
        </a:p>
      </c:txPr>
    </c:title>
    <c:autoTitleDeleted val="0"/>
    <c:pivotFmts>
      <c:pivotFmt>
        <c:idx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pivotFmt>
      <c:pivotFmt>
        <c:idx val="9"/>
        <c:spPr>
          <a:solidFill>
            <a:schemeClr val="accent1">
              <a:lumMod val="40000"/>
              <a:lumOff val="60000"/>
            </a:schemeClr>
          </a:solidFill>
          <a:ln>
            <a:noFill/>
          </a:ln>
          <a:effectLst/>
        </c:spPr>
        <c:marker>
          <c:symbol val="none"/>
        </c:marker>
      </c:pivotFmt>
    </c:pivotFmts>
    <c:plotArea>
      <c:layout/>
      <c:barChart>
        <c:barDir val="col"/>
        <c:grouping val="percentStacked"/>
        <c:varyColors val="0"/>
        <c:ser>
          <c:idx val="0"/>
          <c:order val="0"/>
          <c:tx>
            <c:strRef>
              <c:f>'Marital Status'!$B$14:$B$15</c:f>
              <c:strCache>
                <c:ptCount val="1"/>
                <c:pt idx="0">
                  <c:v>Rural</c:v>
                </c:pt>
              </c:strCache>
            </c:strRef>
          </c:tx>
          <c:spPr>
            <a:solidFill>
              <a:schemeClr val="accent6">
                <a:lumMod val="75000"/>
              </a:schemeClr>
            </a:solidFill>
            <a:ln>
              <a:noFill/>
            </a:ln>
            <a:effectLst/>
          </c:spPr>
          <c:invertIfNegative val="0"/>
          <c:cat>
            <c:strRef>
              <c:f>'Marital Status'!$A$16:$A$20</c:f>
              <c:strCache>
                <c:ptCount val="5"/>
                <c:pt idx="0">
                  <c:v>Divorced</c:v>
                </c:pt>
                <c:pt idx="1">
                  <c:v>Married</c:v>
                </c:pt>
                <c:pt idx="2">
                  <c:v>Never married</c:v>
                </c:pt>
                <c:pt idx="3">
                  <c:v>Separated</c:v>
                </c:pt>
                <c:pt idx="4">
                  <c:v>Widowed</c:v>
                </c:pt>
              </c:strCache>
            </c:strRef>
          </c:cat>
          <c:val>
            <c:numRef>
              <c:f>'Marital Status'!$B$16:$B$20</c:f>
              <c:numCache>
                <c:formatCode>General</c:formatCode>
                <c:ptCount val="5"/>
                <c:pt idx="0">
                  <c:v>730</c:v>
                </c:pt>
                <c:pt idx="1">
                  <c:v>339536</c:v>
                </c:pt>
                <c:pt idx="2">
                  <c:v>381789</c:v>
                </c:pt>
                <c:pt idx="3">
                  <c:v>1533</c:v>
                </c:pt>
                <c:pt idx="4">
                  <c:v>31165</c:v>
                </c:pt>
              </c:numCache>
            </c:numRef>
          </c:val>
          <c:extLst>
            <c:ext xmlns:c16="http://schemas.microsoft.com/office/drawing/2014/chart" uri="{C3380CC4-5D6E-409C-BE32-E72D297353CC}">
              <c16:uniqueId val="{00000000-2DC7-4CD9-97F4-BAB8B4177531}"/>
            </c:ext>
          </c:extLst>
        </c:ser>
        <c:ser>
          <c:idx val="1"/>
          <c:order val="1"/>
          <c:tx>
            <c:strRef>
              <c:f>'Marital Status'!$C$14:$C$15</c:f>
              <c:strCache>
                <c:ptCount val="1"/>
                <c:pt idx="0">
                  <c:v>Urban</c:v>
                </c:pt>
              </c:strCache>
            </c:strRef>
          </c:tx>
          <c:spPr>
            <a:solidFill>
              <a:schemeClr val="accent1">
                <a:lumMod val="40000"/>
                <a:lumOff val="60000"/>
              </a:schemeClr>
            </a:solidFill>
            <a:ln>
              <a:noFill/>
            </a:ln>
            <a:effectLst/>
          </c:spPr>
          <c:invertIfNegative val="0"/>
          <c:cat>
            <c:strRef>
              <c:f>'Marital Status'!$A$16:$A$20</c:f>
              <c:strCache>
                <c:ptCount val="5"/>
                <c:pt idx="0">
                  <c:v>Divorced</c:v>
                </c:pt>
                <c:pt idx="1">
                  <c:v>Married</c:v>
                </c:pt>
                <c:pt idx="2">
                  <c:v>Never married</c:v>
                </c:pt>
                <c:pt idx="3">
                  <c:v>Separated</c:v>
                </c:pt>
                <c:pt idx="4">
                  <c:v>Widowed</c:v>
                </c:pt>
              </c:strCache>
            </c:strRef>
          </c:cat>
          <c:val>
            <c:numRef>
              <c:f>'Marital Status'!$C$16:$C$20</c:f>
              <c:numCache>
                <c:formatCode>General</c:formatCode>
                <c:ptCount val="5"/>
                <c:pt idx="0">
                  <c:v>1098</c:v>
                </c:pt>
                <c:pt idx="1">
                  <c:v>457260</c:v>
                </c:pt>
                <c:pt idx="2">
                  <c:v>443349</c:v>
                </c:pt>
                <c:pt idx="3">
                  <c:v>1824</c:v>
                </c:pt>
                <c:pt idx="4">
                  <c:v>38410</c:v>
                </c:pt>
              </c:numCache>
            </c:numRef>
          </c:val>
          <c:extLst>
            <c:ext xmlns:c16="http://schemas.microsoft.com/office/drawing/2014/chart" uri="{C3380CC4-5D6E-409C-BE32-E72D297353CC}">
              <c16:uniqueId val="{00000001-2DC7-4CD9-97F4-BAB8B4177531}"/>
            </c:ext>
          </c:extLst>
        </c:ser>
        <c:dLbls>
          <c:showLegendKey val="0"/>
          <c:showVal val="0"/>
          <c:showCatName val="0"/>
          <c:showSerName val="0"/>
          <c:showPercent val="0"/>
          <c:showBubbleSize val="0"/>
        </c:dLbls>
        <c:gapWidth val="95"/>
        <c:overlap val="100"/>
        <c:axId val="702442463"/>
        <c:axId val="702444863"/>
      </c:barChart>
      <c:catAx>
        <c:axId val="70244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2444863"/>
        <c:crosses val="autoZero"/>
        <c:auto val="1"/>
        <c:lblAlgn val="ctr"/>
        <c:lblOffset val="100"/>
        <c:noMultiLvlLbl val="0"/>
      </c:catAx>
      <c:valAx>
        <c:axId val="702444863"/>
        <c:scaling>
          <c:orientation val="minMax"/>
        </c:scaling>
        <c:delete val="1"/>
        <c:axPos val="l"/>
        <c:numFmt formatCode="0%" sourceLinked="1"/>
        <c:majorTickMark val="none"/>
        <c:minorTickMark val="none"/>
        <c:tickLblPos val="nextTo"/>
        <c:crossAx val="702442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gradFill>
        <a:gsLst>
          <a:gs pos="0">
            <a:schemeClr val="accent2">
              <a:lumMod val="60000"/>
              <a:lumOff val="40000"/>
            </a:schemeClr>
          </a:gs>
          <a:gs pos="67000">
            <a:schemeClr val="accent2">
              <a:lumMod val="75000"/>
            </a:schemeClr>
          </a:gs>
          <a:gs pos="100000">
            <a:schemeClr val="accent2">
              <a:lumMod val="50000"/>
              <a:alpha val="96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MALE ATTENDING EDUCATIONAL INSTITUTIONS ACROSS AGE GROUPS AND AREA</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83DE9E5B-DB01-467E-9214-DDF0BE4E5039}">
          <cx:spPr>
            <a:solidFill>
              <a:schemeClr val="accent6">
                <a:lumMod val="60000"/>
                <a:lumOff val="40000"/>
              </a:schemeClr>
            </a:solidFill>
          </cx:spPr>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minorGridlines/>
        <cx:majorTickMarks type="out"/>
        <cx:tickLabels/>
      </cx:axis>
    </cx:plotArea>
  </cx:chart>
  <cx:spPr>
    <a:ln w="50800">
      <a:solidFill>
        <a:schemeClr val="accent6">
          <a:lumMod val="40000"/>
          <a:lumOff val="6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FEMALE ATTENDING EDUCATIONAL INSTITUTIONS ACROSS AGE GROUPS AND AREA</a:t>
            </a:r>
            <a:endParaRPr lang="en-IN">
              <a:effectLst/>
            </a:endParaRPr>
          </a:p>
        </cx:rich>
      </cx:tx>
    </cx:title>
    <cx:plotArea>
      <cx:plotAreaRegion>
        <cx:series layoutId="boxWhisker" uniqueId="{728ECBD5-6169-438B-9ED5-8B69B0CC02E4}">
          <cx:spPr>
            <a:solidFill>
              <a:schemeClr val="accent2">
                <a:lumMod val="40000"/>
                <a:lumOff val="60000"/>
              </a:schemeClr>
            </a:solidFill>
          </cx:spPr>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minorGridlines/>
        <cx:majorTickMarks type="out"/>
        <cx:tickLabels/>
      </cx:axis>
    </cx:plotArea>
  </cx:chart>
  <cx:spPr>
    <a:ln w="50800">
      <a:solidFill>
        <a:schemeClr val="accent2">
          <a:lumMod val="20000"/>
          <a:lumOff val="80000"/>
        </a:schemeClr>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0.xml"/><Relationship Id="rId18" Type="http://schemas.openxmlformats.org/officeDocument/2006/relationships/chart" Target="../charts/chart25.xml"/><Relationship Id="rId3" Type="http://schemas.openxmlformats.org/officeDocument/2006/relationships/image" Target="../media/image3.svg"/><Relationship Id="rId21" Type="http://schemas.openxmlformats.org/officeDocument/2006/relationships/chart" Target="../charts/chart28.xml"/><Relationship Id="rId7" Type="http://schemas.openxmlformats.org/officeDocument/2006/relationships/image" Target="../media/image7.svg"/><Relationship Id="rId12" Type="http://schemas.openxmlformats.org/officeDocument/2006/relationships/chart" Target="../charts/chart19.xml"/><Relationship Id="rId17" Type="http://schemas.openxmlformats.org/officeDocument/2006/relationships/chart" Target="../charts/chart24.xml"/><Relationship Id="rId25" Type="http://schemas.openxmlformats.org/officeDocument/2006/relationships/chart" Target="../charts/chart32.xml"/><Relationship Id="rId2" Type="http://schemas.openxmlformats.org/officeDocument/2006/relationships/image" Target="../media/image2.png"/><Relationship Id="rId16" Type="http://schemas.openxmlformats.org/officeDocument/2006/relationships/chart" Target="../charts/chart23.xml"/><Relationship Id="rId20" Type="http://schemas.openxmlformats.org/officeDocument/2006/relationships/chart" Target="../charts/chart27.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18.xml"/><Relationship Id="rId24" Type="http://schemas.openxmlformats.org/officeDocument/2006/relationships/chart" Target="../charts/chart31.xml"/><Relationship Id="rId5" Type="http://schemas.openxmlformats.org/officeDocument/2006/relationships/image" Target="../media/image5.svg"/><Relationship Id="rId15" Type="http://schemas.openxmlformats.org/officeDocument/2006/relationships/chart" Target="../charts/chart22.xml"/><Relationship Id="rId23" Type="http://schemas.openxmlformats.org/officeDocument/2006/relationships/chart" Target="../charts/chart30.xml"/><Relationship Id="rId10" Type="http://schemas.openxmlformats.org/officeDocument/2006/relationships/chart" Target="../charts/chart17.xml"/><Relationship Id="rId19" Type="http://schemas.openxmlformats.org/officeDocument/2006/relationships/chart" Target="../charts/chart2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1.xml"/><Relationship Id="rId22"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20</xdr:col>
      <xdr:colOff>288597</xdr:colOff>
      <xdr:row>1</xdr:row>
      <xdr:rowOff>16401</xdr:rowOff>
    </xdr:from>
    <xdr:to>
      <xdr:col>22</xdr:col>
      <xdr:colOff>519063</xdr:colOff>
      <xdr:row>9</xdr:row>
      <xdr:rowOff>139080</xdr:rowOff>
    </xdr:to>
    <mc:AlternateContent xmlns:mc="http://schemas.openxmlformats.org/markup-compatibility/2006" xmlns:a14="http://schemas.microsoft.com/office/drawing/2010/main">
      <mc:Choice Requires="a14">
        <xdr:graphicFrame macro="">
          <xdr:nvGraphicFramePr>
            <xdr:cNvPr id="8" name="Urban/Rural">
              <a:extLst>
                <a:ext uri="{FF2B5EF4-FFF2-40B4-BE49-F238E27FC236}">
                  <a16:creationId xmlns:a16="http://schemas.microsoft.com/office/drawing/2014/main" id="{A8B05738-A80F-FD7B-68DD-17C29283F806}"/>
                </a:ext>
              </a:extLst>
            </xdr:cNvPr>
            <xdr:cNvGraphicFramePr/>
          </xdr:nvGraphicFramePr>
          <xdr:xfrm>
            <a:off x="0" y="0"/>
            <a:ext cx="0" cy="0"/>
          </xdr:xfrm>
          <a:graphic>
            <a:graphicData uri="http://schemas.microsoft.com/office/drawing/2010/slicer">
              <sle:slicer xmlns:sle="http://schemas.microsoft.com/office/drawing/2010/slicer" name="Urban/Rural"/>
            </a:graphicData>
          </a:graphic>
        </xdr:graphicFrame>
      </mc:Choice>
      <mc:Fallback xmlns="">
        <xdr:sp macro="" textlink="">
          <xdr:nvSpPr>
            <xdr:cNvPr id="0" name=""/>
            <xdr:cNvSpPr>
              <a:spLocks noTextEdit="1"/>
            </xdr:cNvSpPr>
          </xdr:nvSpPr>
          <xdr:spPr>
            <a:xfrm>
              <a:off x="25278920" y="323659"/>
              <a:ext cx="1445841" cy="1648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61951</xdr:colOff>
      <xdr:row>6</xdr:row>
      <xdr:rowOff>139391</xdr:rowOff>
    </xdr:from>
    <xdr:to>
      <xdr:col>12</xdr:col>
      <xdr:colOff>913781</xdr:colOff>
      <xdr:row>18</xdr:row>
      <xdr:rowOff>46464</xdr:rowOff>
    </xdr:to>
    <xdr:graphicFrame macro="">
      <xdr:nvGraphicFramePr>
        <xdr:cNvPr id="5" name="Chart 4">
          <a:extLst>
            <a:ext uri="{FF2B5EF4-FFF2-40B4-BE49-F238E27FC236}">
              <a16:creationId xmlns:a16="http://schemas.microsoft.com/office/drawing/2014/main" id="{B9085D8F-7FFC-4536-9264-461922BDC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10</xdr:row>
      <xdr:rowOff>0</xdr:rowOff>
    </xdr:from>
    <xdr:to>
      <xdr:col>20</xdr:col>
      <xdr:colOff>205142</xdr:colOff>
      <xdr:row>24</xdr:row>
      <xdr:rowOff>160158</xdr:rowOff>
    </xdr:to>
    <xdr:graphicFrame macro="">
      <xdr:nvGraphicFramePr>
        <xdr:cNvPr id="7" name="Chart 6">
          <a:extLst>
            <a:ext uri="{FF2B5EF4-FFF2-40B4-BE49-F238E27FC236}">
              <a16:creationId xmlns:a16="http://schemas.microsoft.com/office/drawing/2014/main" id="{024BCF95-49E2-4952-9879-41A6591A7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356218</xdr:colOff>
      <xdr:row>8</xdr:row>
      <xdr:rowOff>0</xdr:rowOff>
    </xdr:from>
    <xdr:to>
      <xdr:col>17</xdr:col>
      <xdr:colOff>92925</xdr:colOff>
      <xdr:row>22</xdr:row>
      <xdr:rowOff>160158</xdr:rowOff>
    </xdr:to>
    <xdr:graphicFrame macro="">
      <xdr:nvGraphicFramePr>
        <xdr:cNvPr id="9" name="Chart 8">
          <a:extLst>
            <a:ext uri="{FF2B5EF4-FFF2-40B4-BE49-F238E27FC236}">
              <a16:creationId xmlns:a16="http://schemas.microsoft.com/office/drawing/2014/main" id="{A3A3D976-1DCC-45F7-B9CB-1D9F38619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15488</xdr:colOff>
      <xdr:row>8</xdr:row>
      <xdr:rowOff>92927</xdr:rowOff>
    </xdr:from>
    <xdr:to>
      <xdr:col>10</xdr:col>
      <xdr:colOff>15488</xdr:colOff>
      <xdr:row>23</xdr:row>
      <xdr:rowOff>105922</xdr:rowOff>
    </xdr:to>
    <xdr:graphicFrame macro="">
      <xdr:nvGraphicFramePr>
        <xdr:cNvPr id="10" name="Chart 9">
          <a:extLst>
            <a:ext uri="{FF2B5EF4-FFF2-40B4-BE49-F238E27FC236}">
              <a16:creationId xmlns:a16="http://schemas.microsoft.com/office/drawing/2014/main" id="{F6CB80BB-7EC6-4DFB-A6E5-A10AB71AE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886810</xdr:colOff>
      <xdr:row>10</xdr:row>
      <xdr:rowOff>132643</xdr:rowOff>
    </xdr:from>
    <xdr:to>
      <xdr:col>20</xdr:col>
      <xdr:colOff>43793</xdr:colOff>
      <xdr:row>28</xdr:row>
      <xdr:rowOff>136247</xdr:rowOff>
    </xdr:to>
    <xdr:graphicFrame macro="">
      <xdr:nvGraphicFramePr>
        <xdr:cNvPr id="2" name="Chart 1">
          <a:extLst>
            <a:ext uri="{FF2B5EF4-FFF2-40B4-BE49-F238E27FC236}">
              <a16:creationId xmlns:a16="http://schemas.microsoft.com/office/drawing/2014/main" id="{0338C835-FF97-6AD0-EFB3-5A18A78AC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607350</xdr:colOff>
      <xdr:row>10</xdr:row>
      <xdr:rowOff>99459</xdr:rowOff>
    </xdr:from>
    <xdr:to>
      <xdr:col>13</xdr:col>
      <xdr:colOff>1194662</xdr:colOff>
      <xdr:row>23</xdr:row>
      <xdr:rowOff>107625</xdr:rowOff>
    </xdr:to>
    <xdr:graphicFrame macro="">
      <xdr:nvGraphicFramePr>
        <xdr:cNvPr id="8" name="Chart 7">
          <a:extLst>
            <a:ext uri="{FF2B5EF4-FFF2-40B4-BE49-F238E27FC236}">
              <a16:creationId xmlns:a16="http://schemas.microsoft.com/office/drawing/2014/main" id="{D9ED95D0-A09D-440A-95EF-AE0D247DD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398221</xdr:colOff>
      <xdr:row>5</xdr:row>
      <xdr:rowOff>96864</xdr:rowOff>
    </xdr:from>
    <xdr:to>
      <xdr:col>23</xdr:col>
      <xdr:colOff>538136</xdr:colOff>
      <xdr:row>20</xdr:row>
      <xdr:rowOff>27519</xdr:rowOff>
    </xdr:to>
    <xdr:graphicFrame macro="">
      <xdr:nvGraphicFramePr>
        <xdr:cNvPr id="9" name="Chart 8">
          <a:extLst>
            <a:ext uri="{FF2B5EF4-FFF2-40B4-BE49-F238E27FC236}">
              <a16:creationId xmlns:a16="http://schemas.microsoft.com/office/drawing/2014/main" id="{E267B748-B526-49D1-A2A1-E8F06CB57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0</xdr:colOff>
      <xdr:row>6</xdr:row>
      <xdr:rowOff>0</xdr:rowOff>
    </xdr:from>
    <xdr:to>
      <xdr:col>26</xdr:col>
      <xdr:colOff>541415</xdr:colOff>
      <xdr:row>18</xdr:row>
      <xdr:rowOff>75641</xdr:rowOff>
    </xdr:to>
    <xdr:graphicFrame macro="">
      <xdr:nvGraphicFramePr>
        <xdr:cNvPr id="10" name="Chart 9">
          <a:extLst>
            <a:ext uri="{FF2B5EF4-FFF2-40B4-BE49-F238E27FC236}">
              <a16:creationId xmlns:a16="http://schemas.microsoft.com/office/drawing/2014/main" id="{27DC78C0-966E-48B0-B873-99F8C9C02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410347</xdr:colOff>
      <xdr:row>6</xdr:row>
      <xdr:rowOff>127346</xdr:rowOff>
    </xdr:from>
    <xdr:to>
      <xdr:col>17</xdr:col>
      <xdr:colOff>30891</xdr:colOff>
      <xdr:row>16</xdr:row>
      <xdr:rowOff>103232</xdr:rowOff>
    </xdr:to>
    <xdr:graphicFrame macro="">
      <xdr:nvGraphicFramePr>
        <xdr:cNvPr id="8" name="Chart 7">
          <a:extLst>
            <a:ext uri="{FF2B5EF4-FFF2-40B4-BE49-F238E27FC236}">
              <a16:creationId xmlns:a16="http://schemas.microsoft.com/office/drawing/2014/main" id="{C86ADB86-D96E-568B-6F42-DC0A47200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332619</xdr:colOff>
      <xdr:row>6</xdr:row>
      <xdr:rowOff>151190</xdr:rowOff>
    </xdr:from>
    <xdr:to>
      <xdr:col>20</xdr:col>
      <xdr:colOff>432227</xdr:colOff>
      <xdr:row>21</xdr:row>
      <xdr:rowOff>106466</xdr:rowOff>
    </xdr:to>
    <xdr:graphicFrame macro="">
      <xdr:nvGraphicFramePr>
        <xdr:cNvPr id="2" name="Chart 1">
          <a:extLst>
            <a:ext uri="{FF2B5EF4-FFF2-40B4-BE49-F238E27FC236}">
              <a16:creationId xmlns:a16="http://schemas.microsoft.com/office/drawing/2014/main" id="{22214281-0A2A-4D4D-ABFE-0BCB7F2A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423333</xdr:colOff>
      <xdr:row>6</xdr:row>
      <xdr:rowOff>149412</xdr:rowOff>
    </xdr:from>
    <xdr:to>
      <xdr:col>15</xdr:col>
      <xdr:colOff>37353</xdr:colOff>
      <xdr:row>21</xdr:row>
      <xdr:rowOff>93504</xdr:rowOff>
    </xdr:to>
    <xdr:graphicFrame macro="">
      <xdr:nvGraphicFramePr>
        <xdr:cNvPr id="3" name="Chart 2">
          <a:extLst>
            <a:ext uri="{FF2B5EF4-FFF2-40B4-BE49-F238E27FC236}">
              <a16:creationId xmlns:a16="http://schemas.microsoft.com/office/drawing/2014/main" id="{6E7E9F92-2FFE-4010-951D-F20E41AA1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535393</xdr:colOff>
      <xdr:row>5</xdr:row>
      <xdr:rowOff>174314</xdr:rowOff>
    </xdr:from>
    <xdr:to>
      <xdr:col>10</xdr:col>
      <xdr:colOff>423159</xdr:colOff>
      <xdr:row>20</xdr:row>
      <xdr:rowOff>67343</xdr:rowOff>
    </xdr:to>
    <xdr:graphicFrame macro="">
      <xdr:nvGraphicFramePr>
        <xdr:cNvPr id="4" name="Chart 3">
          <a:extLst>
            <a:ext uri="{FF2B5EF4-FFF2-40B4-BE49-F238E27FC236}">
              <a16:creationId xmlns:a16="http://schemas.microsoft.com/office/drawing/2014/main" id="{53E0AE91-B715-40CF-B7B0-44F42FDCB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791307</xdr:colOff>
      <xdr:row>16</xdr:row>
      <xdr:rowOff>58615</xdr:rowOff>
    </xdr:from>
    <xdr:to>
      <xdr:col>6</xdr:col>
      <xdr:colOff>237310</xdr:colOff>
      <xdr:row>20</xdr:row>
      <xdr:rowOff>179765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88861B2-0FF5-4B16-BA16-6850D7C059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82845" y="3937000"/>
              <a:ext cx="1839465" cy="1176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854806</xdr:colOff>
      <xdr:row>21</xdr:row>
      <xdr:rowOff>176822</xdr:rowOff>
    </xdr:from>
    <xdr:to>
      <xdr:col>11</xdr:col>
      <xdr:colOff>39075</xdr:colOff>
      <xdr:row>39</xdr:row>
      <xdr:rowOff>117230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CA19C63-8BDA-311E-E01B-FC1A00255E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839806" y="5225072"/>
              <a:ext cx="4918319" cy="3255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561730</xdr:colOff>
      <xdr:row>22</xdr:row>
      <xdr:rowOff>167054</xdr:rowOff>
    </xdr:from>
    <xdr:to>
      <xdr:col>15</xdr:col>
      <xdr:colOff>542192</xdr:colOff>
      <xdr:row>37</xdr:row>
      <xdr:rowOff>126023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6D8E3D1D-192F-177B-E356-19F7FE025F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80780" y="5399454"/>
              <a:ext cx="4571512" cy="2721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271962</xdr:colOff>
      <xdr:row>18</xdr:row>
      <xdr:rowOff>45661</xdr:rowOff>
    </xdr:from>
    <xdr:to>
      <xdr:col>26</xdr:col>
      <xdr:colOff>428026</xdr:colOff>
      <xdr:row>31</xdr:row>
      <xdr:rowOff>33450</xdr:rowOff>
    </xdr:to>
    <xdr:graphicFrame macro="">
      <xdr:nvGraphicFramePr>
        <xdr:cNvPr id="4" name="Chart 3">
          <a:extLst>
            <a:ext uri="{FF2B5EF4-FFF2-40B4-BE49-F238E27FC236}">
              <a16:creationId xmlns:a16="http://schemas.microsoft.com/office/drawing/2014/main" id="{DDF74BB3-6E77-E425-6D11-6BA870872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635747</xdr:colOff>
      <xdr:row>22</xdr:row>
      <xdr:rowOff>160780</xdr:rowOff>
    </xdr:from>
    <xdr:to>
      <xdr:col>17</xdr:col>
      <xdr:colOff>460143</xdr:colOff>
      <xdr:row>36</xdr:row>
      <xdr:rowOff>119505</xdr:rowOff>
    </xdr:to>
    <xdr:graphicFrame macro="">
      <xdr:nvGraphicFramePr>
        <xdr:cNvPr id="5" name="Chart 4">
          <a:extLst>
            <a:ext uri="{FF2B5EF4-FFF2-40B4-BE49-F238E27FC236}">
              <a16:creationId xmlns:a16="http://schemas.microsoft.com/office/drawing/2014/main" id="{2BDC8B29-F16F-71F5-E342-BD8727011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549518</xdr:colOff>
      <xdr:row>19</xdr:row>
      <xdr:rowOff>354134</xdr:rowOff>
    </xdr:from>
    <xdr:to>
      <xdr:col>10</xdr:col>
      <xdr:colOff>280866</xdr:colOff>
      <xdr:row>35</xdr:row>
      <xdr:rowOff>122115</xdr:rowOff>
    </xdr:to>
    <xdr:graphicFrame macro="">
      <xdr:nvGraphicFramePr>
        <xdr:cNvPr id="2" name="Chart 1">
          <a:extLst>
            <a:ext uri="{FF2B5EF4-FFF2-40B4-BE49-F238E27FC236}">
              <a16:creationId xmlns:a16="http://schemas.microsoft.com/office/drawing/2014/main" id="{7DD0388B-2B86-410F-AC7A-DEB1C6285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3</xdr:col>
      <xdr:colOff>781539</xdr:colOff>
      <xdr:row>36</xdr:row>
      <xdr:rowOff>36635</xdr:rowOff>
    </xdr:to>
    <xdr:graphicFrame macro="">
      <xdr:nvGraphicFramePr>
        <xdr:cNvPr id="6" name="Chart 5">
          <a:extLst>
            <a:ext uri="{FF2B5EF4-FFF2-40B4-BE49-F238E27FC236}">
              <a16:creationId xmlns:a16="http://schemas.microsoft.com/office/drawing/2014/main" id="{B596A609-1AA1-4415-B701-52029017C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417764</xdr:colOff>
      <xdr:row>5</xdr:row>
      <xdr:rowOff>116973</xdr:rowOff>
    </xdr:from>
    <xdr:to>
      <xdr:col>41</xdr:col>
      <xdr:colOff>432530</xdr:colOff>
      <xdr:row>86</xdr:row>
      <xdr:rowOff>130226</xdr:rowOff>
    </xdr:to>
    <xdr:pic>
      <xdr:nvPicPr>
        <xdr:cNvPr id="17" name="Picture 16">
          <a:extLst>
            <a:ext uri="{FF2B5EF4-FFF2-40B4-BE49-F238E27FC236}">
              <a16:creationId xmlns:a16="http://schemas.microsoft.com/office/drawing/2014/main" id="{6C1B6AEB-090A-E112-CB4C-0C7D8ABE96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7698" y="1127960"/>
          <a:ext cx="24412135" cy="14935753"/>
        </a:xfrm>
        <a:prstGeom prst="rect">
          <a:avLst/>
        </a:prstGeom>
      </xdr:spPr>
    </xdr:pic>
    <xdr:clientData/>
  </xdr:twoCellAnchor>
  <xdr:twoCellAnchor editAs="oneCell">
    <xdr:from>
      <xdr:col>25</xdr:col>
      <xdr:colOff>563623</xdr:colOff>
      <xdr:row>35</xdr:row>
      <xdr:rowOff>149397</xdr:rowOff>
    </xdr:from>
    <xdr:to>
      <xdr:col>29</xdr:col>
      <xdr:colOff>498037</xdr:colOff>
      <xdr:row>47</xdr:row>
      <xdr:rowOff>70555</xdr:rowOff>
    </xdr:to>
    <mc:AlternateContent xmlns:mc="http://schemas.openxmlformats.org/markup-compatibility/2006">
      <mc:Choice xmlns:a14="http://schemas.microsoft.com/office/drawing/2010/main" Requires="a14">
        <xdr:graphicFrame macro="">
          <xdr:nvGraphicFramePr>
            <xdr:cNvPr id="29" name="Gender 1">
              <a:extLst>
                <a:ext uri="{FF2B5EF4-FFF2-40B4-BE49-F238E27FC236}">
                  <a16:creationId xmlns:a16="http://schemas.microsoft.com/office/drawing/2014/main" id="{36D94FD5-DC12-4CE5-B29B-48A31728FC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811978" y="6708279"/>
              <a:ext cx="2374151" cy="2126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0</xdr:rowOff>
    </xdr:from>
    <xdr:to>
      <xdr:col>9</xdr:col>
      <xdr:colOff>448990</xdr:colOff>
      <xdr:row>11</xdr:row>
      <xdr:rowOff>172840</xdr:rowOff>
    </xdr:to>
    <xdr:sp macro="" textlink="">
      <xdr:nvSpPr>
        <xdr:cNvPr id="38" name="TextBox 37">
          <a:extLst>
            <a:ext uri="{FF2B5EF4-FFF2-40B4-BE49-F238E27FC236}">
              <a16:creationId xmlns:a16="http://schemas.microsoft.com/office/drawing/2014/main" id="{9FF177E1-A191-021F-21F8-8D6D07D60266}"/>
            </a:ext>
          </a:extLst>
        </xdr:cNvPr>
        <xdr:cNvSpPr txBox="1"/>
      </xdr:nvSpPr>
      <xdr:spPr>
        <a:xfrm>
          <a:off x="0" y="0"/>
          <a:ext cx="5927274" cy="920562"/>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3" algn="l"/>
          <a:r>
            <a:rPr lang="en-IN" sz="3600">
              <a:solidFill>
                <a:schemeClr val="bg1"/>
              </a:solidFill>
              <a:latin typeface="Britannic Bold" panose="020B0903060703020204" pitchFamily="34" charset="0"/>
            </a:rPr>
            <a:t>POPULATION</a:t>
          </a:r>
        </a:p>
      </xdr:txBody>
    </xdr:sp>
    <xdr:clientData/>
  </xdr:twoCellAnchor>
  <xdr:twoCellAnchor editAs="oneCell">
    <xdr:from>
      <xdr:col>6</xdr:col>
      <xdr:colOff>604023</xdr:colOff>
      <xdr:row>7</xdr:row>
      <xdr:rowOff>139388</xdr:rowOff>
    </xdr:from>
    <xdr:to>
      <xdr:col>7</xdr:col>
      <xdr:colOff>588537</xdr:colOff>
      <xdr:row>10</xdr:row>
      <xdr:rowOff>154878</xdr:rowOff>
    </xdr:to>
    <xdr:pic>
      <xdr:nvPicPr>
        <xdr:cNvPr id="42" name="Graphic 41" descr="Group of women with solid fill">
          <a:extLst>
            <a:ext uri="{FF2B5EF4-FFF2-40B4-BE49-F238E27FC236}">
              <a16:creationId xmlns:a16="http://schemas.microsoft.com/office/drawing/2014/main" id="{5060B3DE-D43F-C0A3-56FB-8BAC442646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228169" y="139388"/>
          <a:ext cx="588539" cy="588539"/>
        </a:xfrm>
        <a:prstGeom prst="rect">
          <a:avLst/>
        </a:prstGeom>
      </xdr:spPr>
    </xdr:pic>
    <xdr:clientData/>
  </xdr:twoCellAnchor>
  <xdr:twoCellAnchor>
    <xdr:from>
      <xdr:col>9</xdr:col>
      <xdr:colOff>511097</xdr:colOff>
      <xdr:row>7</xdr:row>
      <xdr:rowOff>0</xdr:rowOff>
    </xdr:from>
    <xdr:to>
      <xdr:col>20</xdr:col>
      <xdr:colOff>15488</xdr:colOff>
      <xdr:row>11</xdr:row>
      <xdr:rowOff>169083</xdr:rowOff>
    </xdr:to>
    <xdr:sp macro="" textlink="">
      <xdr:nvSpPr>
        <xdr:cNvPr id="43" name="TextBox 42">
          <a:extLst>
            <a:ext uri="{FF2B5EF4-FFF2-40B4-BE49-F238E27FC236}">
              <a16:creationId xmlns:a16="http://schemas.microsoft.com/office/drawing/2014/main" id="{68EA69BC-715D-4A56-A609-83C2BC604D16}"/>
            </a:ext>
          </a:extLst>
        </xdr:cNvPr>
        <xdr:cNvSpPr txBox="1"/>
      </xdr:nvSpPr>
      <xdr:spPr>
        <a:xfrm>
          <a:off x="5989381" y="0"/>
          <a:ext cx="6200071" cy="916805"/>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3600">
              <a:solidFill>
                <a:schemeClr val="bg1"/>
              </a:solidFill>
              <a:latin typeface="Britannic Bold" panose="020B0903060703020204" pitchFamily="34" charset="0"/>
            </a:rPr>
            <a:t>SURVIVING</a:t>
          </a:r>
          <a:r>
            <a:rPr lang="en-IN" sz="3600" baseline="0">
              <a:solidFill>
                <a:schemeClr val="bg1"/>
              </a:solidFill>
              <a:latin typeface="Britannic Bold" panose="020B0903060703020204" pitchFamily="34" charset="0"/>
            </a:rPr>
            <a:t> CHILDREN</a:t>
          </a:r>
          <a:endParaRPr lang="en-IN" sz="3600">
            <a:solidFill>
              <a:schemeClr val="bg1"/>
            </a:solidFill>
            <a:latin typeface="Britannic Bold" panose="020B0903060703020204" pitchFamily="34" charset="0"/>
          </a:endParaRPr>
        </a:p>
      </xdr:txBody>
    </xdr:sp>
    <xdr:clientData/>
  </xdr:twoCellAnchor>
  <xdr:twoCellAnchor>
    <xdr:from>
      <xdr:col>20</xdr:col>
      <xdr:colOff>81311</xdr:colOff>
      <xdr:row>7</xdr:row>
      <xdr:rowOff>10530</xdr:rowOff>
    </xdr:from>
    <xdr:to>
      <xdr:col>30</xdr:col>
      <xdr:colOff>30975</xdr:colOff>
      <xdr:row>11</xdr:row>
      <xdr:rowOff>160352</xdr:rowOff>
    </xdr:to>
    <xdr:sp macro="" textlink="">
      <xdr:nvSpPr>
        <xdr:cNvPr id="44" name="TextBox 43">
          <a:extLst>
            <a:ext uri="{FF2B5EF4-FFF2-40B4-BE49-F238E27FC236}">
              <a16:creationId xmlns:a16="http://schemas.microsoft.com/office/drawing/2014/main" id="{C292F9B8-8516-4A79-871A-9F7CC227A5F2}"/>
            </a:ext>
          </a:extLst>
        </xdr:cNvPr>
        <xdr:cNvSpPr txBox="1"/>
      </xdr:nvSpPr>
      <xdr:spPr>
        <a:xfrm>
          <a:off x="12239238" y="10530"/>
          <a:ext cx="6028627" cy="904852"/>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3" algn="l"/>
          <a:r>
            <a:rPr lang="en-IN" sz="3600">
              <a:solidFill>
                <a:schemeClr val="bg1"/>
              </a:solidFill>
              <a:latin typeface="Britannic Bold" panose="020B0903060703020204" pitchFamily="34" charset="0"/>
            </a:rPr>
            <a:t>EDUCATION</a:t>
          </a:r>
        </a:p>
      </xdr:txBody>
    </xdr:sp>
    <xdr:clientData/>
  </xdr:twoCellAnchor>
  <xdr:twoCellAnchor>
    <xdr:from>
      <xdr:col>30</xdr:col>
      <xdr:colOff>92927</xdr:colOff>
      <xdr:row>7</xdr:row>
      <xdr:rowOff>15488</xdr:rowOff>
    </xdr:from>
    <xdr:to>
      <xdr:col>40</xdr:col>
      <xdr:colOff>0</xdr:colOff>
      <xdr:row>11</xdr:row>
      <xdr:rowOff>154879</xdr:rowOff>
    </xdr:to>
    <xdr:sp macro="" textlink="">
      <xdr:nvSpPr>
        <xdr:cNvPr id="45" name="TextBox 44">
          <a:extLst>
            <a:ext uri="{FF2B5EF4-FFF2-40B4-BE49-F238E27FC236}">
              <a16:creationId xmlns:a16="http://schemas.microsoft.com/office/drawing/2014/main" id="{9E445F30-CCD7-4E67-AB15-4F1421CDEFDD}"/>
            </a:ext>
          </a:extLst>
        </xdr:cNvPr>
        <xdr:cNvSpPr txBox="1"/>
      </xdr:nvSpPr>
      <xdr:spPr>
        <a:xfrm>
          <a:off x="18582633" y="1416223"/>
          <a:ext cx="6070308" cy="92380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2" algn="l"/>
          <a:r>
            <a:rPr lang="en-IN" sz="3600">
              <a:solidFill>
                <a:schemeClr val="bg1"/>
              </a:solidFill>
              <a:latin typeface="Britannic Bold" panose="020B0903060703020204" pitchFamily="34" charset="0"/>
            </a:rPr>
            <a:t>MARITAL</a:t>
          </a:r>
          <a:r>
            <a:rPr lang="en-IN" sz="3600" baseline="0">
              <a:solidFill>
                <a:schemeClr val="bg1"/>
              </a:solidFill>
              <a:latin typeface="Britannic Bold" panose="020B0903060703020204" pitchFamily="34" charset="0"/>
            </a:rPr>
            <a:t> STATUS</a:t>
          </a:r>
          <a:endParaRPr lang="en-IN" sz="3600">
            <a:solidFill>
              <a:schemeClr val="bg1"/>
            </a:solidFill>
            <a:latin typeface="Britannic Bold" panose="020B0903060703020204" pitchFamily="34" charset="0"/>
          </a:endParaRPr>
        </a:p>
      </xdr:txBody>
    </xdr:sp>
    <xdr:clientData/>
  </xdr:twoCellAnchor>
  <xdr:twoCellAnchor editAs="oneCell">
    <xdr:from>
      <xdr:col>18</xdr:col>
      <xdr:colOff>46464</xdr:colOff>
      <xdr:row>7</xdr:row>
      <xdr:rowOff>92927</xdr:rowOff>
    </xdr:from>
    <xdr:to>
      <xdr:col>19</xdr:col>
      <xdr:colOff>139391</xdr:colOff>
      <xdr:row>11</xdr:row>
      <xdr:rowOff>14693</xdr:rowOff>
    </xdr:to>
    <xdr:pic>
      <xdr:nvPicPr>
        <xdr:cNvPr id="47" name="Graphic 46" descr="Baby with solid fill">
          <a:extLst>
            <a:ext uri="{FF2B5EF4-FFF2-40B4-BE49-F238E27FC236}">
              <a16:creationId xmlns:a16="http://schemas.microsoft.com/office/drawing/2014/main" id="{7A09C386-A87F-5038-49DE-D39B4ADE34E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918903" y="92927"/>
          <a:ext cx="696951" cy="696951"/>
        </a:xfrm>
        <a:prstGeom prst="rect">
          <a:avLst/>
        </a:prstGeom>
      </xdr:spPr>
    </xdr:pic>
    <xdr:clientData/>
  </xdr:twoCellAnchor>
  <xdr:twoCellAnchor editAs="oneCell">
    <xdr:from>
      <xdr:col>26</xdr:col>
      <xdr:colOff>495611</xdr:colOff>
      <xdr:row>7</xdr:row>
      <xdr:rowOff>139391</xdr:rowOff>
    </xdr:from>
    <xdr:to>
      <xdr:col>27</xdr:col>
      <xdr:colOff>526585</xdr:colOff>
      <xdr:row>11</xdr:row>
      <xdr:rowOff>1823</xdr:rowOff>
    </xdr:to>
    <xdr:pic>
      <xdr:nvPicPr>
        <xdr:cNvPr id="53" name="Graphic 52" descr="Books with solid fill">
          <a:extLst>
            <a:ext uri="{FF2B5EF4-FFF2-40B4-BE49-F238E27FC236}">
              <a16:creationId xmlns:a16="http://schemas.microsoft.com/office/drawing/2014/main" id="{857903BA-E9B4-CFDE-0C40-0379464794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200245" y="139391"/>
          <a:ext cx="634999" cy="634999"/>
        </a:xfrm>
        <a:prstGeom prst="rect">
          <a:avLst/>
        </a:prstGeom>
      </xdr:spPr>
    </xdr:pic>
    <xdr:clientData/>
  </xdr:twoCellAnchor>
  <xdr:twoCellAnchor editAs="oneCell">
    <xdr:from>
      <xdr:col>37</xdr:col>
      <xdr:colOff>495610</xdr:colOff>
      <xdr:row>7</xdr:row>
      <xdr:rowOff>123901</xdr:rowOff>
    </xdr:from>
    <xdr:to>
      <xdr:col>38</xdr:col>
      <xdr:colOff>526585</xdr:colOff>
      <xdr:row>10</xdr:row>
      <xdr:rowOff>180841</xdr:rowOff>
    </xdr:to>
    <xdr:pic>
      <xdr:nvPicPr>
        <xdr:cNvPr id="55" name="Graphic 54" descr="Man and woman with solid fill">
          <a:extLst>
            <a:ext uri="{FF2B5EF4-FFF2-40B4-BE49-F238E27FC236}">
              <a16:creationId xmlns:a16="http://schemas.microsoft.com/office/drawing/2014/main" id="{332F5EE9-C5A6-233E-948E-233030D01B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44512" y="123901"/>
          <a:ext cx="635000" cy="635000"/>
        </a:xfrm>
        <a:prstGeom prst="rect">
          <a:avLst/>
        </a:prstGeom>
      </xdr:spPr>
    </xdr:pic>
    <xdr:clientData/>
  </xdr:twoCellAnchor>
  <xdr:oneCellAnchor>
    <xdr:from>
      <xdr:col>0</xdr:col>
      <xdr:colOff>1</xdr:colOff>
      <xdr:row>0</xdr:row>
      <xdr:rowOff>0</xdr:rowOff>
    </xdr:from>
    <xdr:ext cx="24712082" cy="1416538"/>
    <xdr:sp macro="" textlink="">
      <xdr:nvSpPr>
        <xdr:cNvPr id="56" name="TextBox 55">
          <a:extLst>
            <a:ext uri="{FF2B5EF4-FFF2-40B4-BE49-F238E27FC236}">
              <a16:creationId xmlns:a16="http://schemas.microsoft.com/office/drawing/2014/main" id="{0BC3B3D5-F917-43AC-8CC5-056DDABA2934}"/>
            </a:ext>
          </a:extLst>
        </xdr:cNvPr>
        <xdr:cNvSpPr txBox="1"/>
      </xdr:nvSpPr>
      <xdr:spPr>
        <a:xfrm>
          <a:off x="1" y="0"/>
          <a:ext cx="24712082" cy="1416538"/>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5400" b="1">
              <a:solidFill>
                <a:schemeClr val="tx1">
                  <a:lumMod val="65000"/>
                  <a:lumOff val="35000"/>
                </a:schemeClr>
              </a:solidFill>
              <a:latin typeface="Baskerville Old Face" panose="02020602080505020303" pitchFamily="18" charset="0"/>
            </a:rPr>
            <a:t>DEMOGRAPHIC</a:t>
          </a:r>
          <a:r>
            <a:rPr lang="en-IN" sz="5400" b="1" baseline="0">
              <a:solidFill>
                <a:schemeClr val="tx1">
                  <a:lumMod val="65000"/>
                  <a:lumOff val="35000"/>
                </a:schemeClr>
              </a:solidFill>
              <a:latin typeface="Baskerville Old Face" panose="02020602080505020303" pitchFamily="18" charset="0"/>
            </a:rPr>
            <a:t> DASHBOARD: DEHRADUN (2011 CENSUS INSIGHTS)</a:t>
          </a:r>
          <a:endParaRPr lang="en-IN" sz="5400" b="1">
            <a:solidFill>
              <a:schemeClr val="tx1">
                <a:lumMod val="65000"/>
                <a:lumOff val="35000"/>
              </a:schemeClr>
            </a:solidFill>
            <a:latin typeface="Baskerville Old Face" panose="02020602080505020303" pitchFamily="18" charset="0"/>
          </a:endParaRPr>
        </a:p>
      </xdr:txBody>
    </xdr:sp>
    <xdr:clientData/>
  </xdr:oneCellAnchor>
  <xdr:twoCellAnchor editAs="oneCell">
    <xdr:from>
      <xdr:col>6</xdr:col>
      <xdr:colOff>81374</xdr:colOff>
      <xdr:row>48</xdr:row>
      <xdr:rowOff>179679</xdr:rowOff>
    </xdr:from>
    <xdr:to>
      <xdr:col>9</xdr:col>
      <xdr:colOff>411450</xdr:colOff>
      <xdr:row>66</xdr:row>
      <xdr:rowOff>69218</xdr:rowOff>
    </xdr:to>
    <mc:AlternateContent xmlns:mc="http://schemas.openxmlformats.org/markup-compatibility/2006">
      <mc:Choice xmlns:a14="http://schemas.microsoft.com/office/drawing/2010/main" Requires="a14">
        <xdr:graphicFrame macro="">
          <xdr:nvGraphicFramePr>
            <xdr:cNvPr id="57" name="Urban/Rural 1">
              <a:extLst>
                <a:ext uri="{FF2B5EF4-FFF2-40B4-BE49-F238E27FC236}">
                  <a16:creationId xmlns:a16="http://schemas.microsoft.com/office/drawing/2014/main" id="{27A22D80-E02E-41E8-8D2E-8D34FD277264}"/>
                </a:ext>
              </a:extLst>
            </xdr:cNvPr>
            <xdr:cNvGraphicFramePr/>
          </xdr:nvGraphicFramePr>
          <xdr:xfrm>
            <a:off x="0" y="0"/>
            <a:ext cx="0" cy="0"/>
          </xdr:xfrm>
          <a:graphic>
            <a:graphicData uri="http://schemas.microsoft.com/office/drawing/2010/slicer">
              <sle:slicer xmlns:sle="http://schemas.microsoft.com/office/drawing/2010/slicer" name="Urban/Rural 1"/>
            </a:graphicData>
          </a:graphic>
        </xdr:graphicFrame>
      </mc:Choice>
      <mc:Fallback>
        <xdr:sp macro="" textlink="">
          <xdr:nvSpPr>
            <xdr:cNvPr id="0" name=""/>
            <xdr:cNvSpPr>
              <a:spLocks noTextEdit="1"/>
            </xdr:cNvSpPr>
          </xdr:nvSpPr>
          <xdr:spPr>
            <a:xfrm>
              <a:off x="3740979" y="9128166"/>
              <a:ext cx="2159879" cy="3198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183444</xdr:colOff>
      <xdr:row>12</xdr:row>
      <xdr:rowOff>155223</xdr:rowOff>
    </xdr:from>
    <xdr:to>
      <xdr:col>9</xdr:col>
      <xdr:colOff>380999</xdr:colOff>
      <xdr:row>29</xdr:row>
      <xdr:rowOff>35276</xdr:rowOff>
    </xdr:to>
    <xdr:graphicFrame macro="">
      <xdr:nvGraphicFramePr>
        <xdr:cNvPr id="2" name="Chart 1">
          <a:extLst>
            <a:ext uri="{FF2B5EF4-FFF2-40B4-BE49-F238E27FC236}">
              <a16:creationId xmlns:a16="http://schemas.microsoft.com/office/drawing/2014/main" id="{2009B94C-BC6C-47BC-8B70-803694656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98778</xdr:colOff>
      <xdr:row>48</xdr:row>
      <xdr:rowOff>169334</xdr:rowOff>
    </xdr:from>
    <xdr:to>
      <xdr:col>5</xdr:col>
      <xdr:colOff>536222</xdr:colOff>
      <xdr:row>66</xdr:row>
      <xdr:rowOff>98778</xdr:rowOff>
    </xdr:to>
    <xdr:graphicFrame macro="">
      <xdr:nvGraphicFramePr>
        <xdr:cNvPr id="3" name="Chart 2">
          <a:extLst>
            <a:ext uri="{FF2B5EF4-FFF2-40B4-BE49-F238E27FC236}">
              <a16:creationId xmlns:a16="http://schemas.microsoft.com/office/drawing/2014/main" id="{7F5F2A67-5894-4D26-949E-F5F5E6877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141111</xdr:colOff>
      <xdr:row>30</xdr:row>
      <xdr:rowOff>42334</xdr:rowOff>
    </xdr:from>
    <xdr:to>
      <xdr:col>9</xdr:col>
      <xdr:colOff>338666</xdr:colOff>
      <xdr:row>47</xdr:row>
      <xdr:rowOff>98778</xdr:rowOff>
    </xdr:to>
    <xdr:graphicFrame macro="">
      <xdr:nvGraphicFramePr>
        <xdr:cNvPr id="4" name="Chart 3">
          <a:extLst>
            <a:ext uri="{FF2B5EF4-FFF2-40B4-BE49-F238E27FC236}">
              <a16:creationId xmlns:a16="http://schemas.microsoft.com/office/drawing/2014/main" id="{705D433E-8268-4D57-A949-1E513F5A6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112888</xdr:colOff>
      <xdr:row>67</xdr:row>
      <xdr:rowOff>14109</xdr:rowOff>
    </xdr:from>
    <xdr:to>
      <xdr:col>9</xdr:col>
      <xdr:colOff>352778</xdr:colOff>
      <xdr:row>87</xdr:row>
      <xdr:rowOff>-1</xdr:rowOff>
    </xdr:to>
    <xdr:graphicFrame macro="">
      <xdr:nvGraphicFramePr>
        <xdr:cNvPr id="5" name="Chart 4">
          <a:extLst>
            <a:ext uri="{FF2B5EF4-FFF2-40B4-BE49-F238E27FC236}">
              <a16:creationId xmlns:a16="http://schemas.microsoft.com/office/drawing/2014/main" id="{BA167951-7377-4677-8A74-E818CE3E3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578555</xdr:colOff>
      <xdr:row>12</xdr:row>
      <xdr:rowOff>127000</xdr:rowOff>
    </xdr:from>
    <xdr:to>
      <xdr:col>19</xdr:col>
      <xdr:colOff>522111</xdr:colOff>
      <xdr:row>28</xdr:row>
      <xdr:rowOff>155223</xdr:rowOff>
    </xdr:to>
    <xdr:graphicFrame macro="">
      <xdr:nvGraphicFramePr>
        <xdr:cNvPr id="7" name="Chart 6">
          <a:extLst>
            <a:ext uri="{FF2B5EF4-FFF2-40B4-BE49-F238E27FC236}">
              <a16:creationId xmlns:a16="http://schemas.microsoft.com/office/drawing/2014/main" id="{5F886AF5-594A-4B17-99B9-15736639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564445</xdr:colOff>
      <xdr:row>29</xdr:row>
      <xdr:rowOff>70554</xdr:rowOff>
    </xdr:from>
    <xdr:to>
      <xdr:col>19</xdr:col>
      <xdr:colOff>522111</xdr:colOff>
      <xdr:row>47</xdr:row>
      <xdr:rowOff>144944</xdr:rowOff>
    </xdr:to>
    <xdr:graphicFrame macro="">
      <xdr:nvGraphicFramePr>
        <xdr:cNvPr id="8" name="Chart 7">
          <a:extLst>
            <a:ext uri="{FF2B5EF4-FFF2-40B4-BE49-F238E27FC236}">
              <a16:creationId xmlns:a16="http://schemas.microsoft.com/office/drawing/2014/main" id="{D7E1B3F8-FB23-43DF-8B62-34E382B66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14111</xdr:colOff>
      <xdr:row>48</xdr:row>
      <xdr:rowOff>169334</xdr:rowOff>
    </xdr:from>
    <xdr:to>
      <xdr:col>19</xdr:col>
      <xdr:colOff>437444</xdr:colOff>
      <xdr:row>65</xdr:row>
      <xdr:rowOff>112889</xdr:rowOff>
    </xdr:to>
    <xdr:graphicFrame macro="">
      <xdr:nvGraphicFramePr>
        <xdr:cNvPr id="9" name="Chart 8">
          <a:extLst>
            <a:ext uri="{FF2B5EF4-FFF2-40B4-BE49-F238E27FC236}">
              <a16:creationId xmlns:a16="http://schemas.microsoft.com/office/drawing/2014/main" id="{0513D0FA-1159-4640-8CFD-C913FD5F5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14110</xdr:colOff>
      <xdr:row>66</xdr:row>
      <xdr:rowOff>112889</xdr:rowOff>
    </xdr:from>
    <xdr:to>
      <xdr:col>19</xdr:col>
      <xdr:colOff>437444</xdr:colOff>
      <xdr:row>87</xdr:row>
      <xdr:rowOff>0</xdr:rowOff>
    </xdr:to>
    <xdr:graphicFrame macro="">
      <xdr:nvGraphicFramePr>
        <xdr:cNvPr id="10" name="Chart 9">
          <a:extLst>
            <a:ext uri="{FF2B5EF4-FFF2-40B4-BE49-F238E27FC236}">
              <a16:creationId xmlns:a16="http://schemas.microsoft.com/office/drawing/2014/main" id="{7D7E3CFC-9B1B-4603-BA9C-3716AD2F7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141110</xdr:colOff>
      <xdr:row>12</xdr:row>
      <xdr:rowOff>169333</xdr:rowOff>
    </xdr:from>
    <xdr:to>
      <xdr:col>29</xdr:col>
      <xdr:colOff>508000</xdr:colOff>
      <xdr:row>34</xdr:row>
      <xdr:rowOff>169332</xdr:rowOff>
    </xdr:to>
    <xdr:graphicFrame macro="">
      <xdr:nvGraphicFramePr>
        <xdr:cNvPr id="12" name="Chart 11">
          <a:extLst>
            <a:ext uri="{FF2B5EF4-FFF2-40B4-BE49-F238E27FC236}">
              <a16:creationId xmlns:a16="http://schemas.microsoft.com/office/drawing/2014/main" id="{35DB5C44-D2CC-4E5B-97B4-E15546FB2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141110</xdr:colOff>
      <xdr:row>35</xdr:row>
      <xdr:rowOff>169332</xdr:rowOff>
    </xdr:from>
    <xdr:to>
      <xdr:col>25</xdr:col>
      <xdr:colOff>395111</xdr:colOff>
      <xdr:row>47</xdr:row>
      <xdr:rowOff>70554</xdr:rowOff>
    </xdr:to>
    <xdr:graphicFrame macro="">
      <xdr:nvGraphicFramePr>
        <xdr:cNvPr id="15" name="Chart 14">
          <a:extLst>
            <a:ext uri="{FF2B5EF4-FFF2-40B4-BE49-F238E27FC236}">
              <a16:creationId xmlns:a16="http://schemas.microsoft.com/office/drawing/2014/main" id="{732158DE-D4B9-4782-B920-D617F120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98778</xdr:colOff>
      <xdr:row>48</xdr:row>
      <xdr:rowOff>70555</xdr:rowOff>
    </xdr:from>
    <xdr:to>
      <xdr:col>29</xdr:col>
      <xdr:colOff>493888</xdr:colOff>
      <xdr:row>65</xdr:row>
      <xdr:rowOff>84666</xdr:rowOff>
    </xdr:to>
    <xdr:graphicFrame macro="">
      <xdr:nvGraphicFramePr>
        <xdr:cNvPr id="16" name="Chart 15">
          <a:extLst>
            <a:ext uri="{FF2B5EF4-FFF2-40B4-BE49-F238E27FC236}">
              <a16:creationId xmlns:a16="http://schemas.microsoft.com/office/drawing/2014/main" id="{2C7B7865-E999-474A-A7A2-C9DAFE3D8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84666</xdr:colOff>
      <xdr:row>66</xdr:row>
      <xdr:rowOff>98779</xdr:rowOff>
    </xdr:from>
    <xdr:to>
      <xdr:col>29</xdr:col>
      <xdr:colOff>465666</xdr:colOff>
      <xdr:row>87</xdr:row>
      <xdr:rowOff>42333</xdr:rowOff>
    </xdr:to>
    <xdr:graphicFrame macro="">
      <xdr:nvGraphicFramePr>
        <xdr:cNvPr id="19" name="Chart 18">
          <a:extLst>
            <a:ext uri="{FF2B5EF4-FFF2-40B4-BE49-F238E27FC236}">
              <a16:creationId xmlns:a16="http://schemas.microsoft.com/office/drawing/2014/main" id="{96EE1430-1C49-459B-BEBD-88E0E0148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30</xdr:col>
      <xdr:colOff>169334</xdr:colOff>
      <xdr:row>12</xdr:row>
      <xdr:rowOff>169334</xdr:rowOff>
    </xdr:from>
    <xdr:to>
      <xdr:col>39</xdr:col>
      <xdr:colOff>395111</xdr:colOff>
      <xdr:row>34</xdr:row>
      <xdr:rowOff>155222</xdr:rowOff>
    </xdr:to>
    <xdr:graphicFrame macro="">
      <xdr:nvGraphicFramePr>
        <xdr:cNvPr id="20" name="Chart 19">
          <a:extLst>
            <a:ext uri="{FF2B5EF4-FFF2-40B4-BE49-F238E27FC236}">
              <a16:creationId xmlns:a16="http://schemas.microsoft.com/office/drawing/2014/main" id="{D779D6ED-D394-46BE-9AAC-ADA5BBDB4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30</xdr:col>
      <xdr:colOff>155223</xdr:colOff>
      <xdr:row>35</xdr:row>
      <xdr:rowOff>155222</xdr:rowOff>
    </xdr:from>
    <xdr:to>
      <xdr:col>39</xdr:col>
      <xdr:colOff>395111</xdr:colOff>
      <xdr:row>49</xdr:row>
      <xdr:rowOff>110148</xdr:rowOff>
    </xdr:to>
    <xdr:graphicFrame macro="">
      <xdr:nvGraphicFramePr>
        <xdr:cNvPr id="22" name="Chart 21">
          <a:extLst>
            <a:ext uri="{FF2B5EF4-FFF2-40B4-BE49-F238E27FC236}">
              <a16:creationId xmlns:a16="http://schemas.microsoft.com/office/drawing/2014/main" id="{FD353770-D576-44F3-8A14-E2CCAD2A0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30</xdr:col>
      <xdr:colOff>183445</xdr:colOff>
      <xdr:row>50</xdr:row>
      <xdr:rowOff>127000</xdr:rowOff>
    </xdr:from>
    <xdr:to>
      <xdr:col>39</xdr:col>
      <xdr:colOff>437445</xdr:colOff>
      <xdr:row>65</xdr:row>
      <xdr:rowOff>110718</xdr:rowOff>
    </xdr:to>
    <xdr:graphicFrame macro="">
      <xdr:nvGraphicFramePr>
        <xdr:cNvPr id="26" name="Chart 25">
          <a:extLst>
            <a:ext uri="{FF2B5EF4-FFF2-40B4-BE49-F238E27FC236}">
              <a16:creationId xmlns:a16="http://schemas.microsoft.com/office/drawing/2014/main" id="{E140DAD7-C66C-4351-9851-5AC9CC926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30</xdr:col>
      <xdr:colOff>211667</xdr:colOff>
      <xdr:row>66</xdr:row>
      <xdr:rowOff>112888</xdr:rowOff>
    </xdr:from>
    <xdr:to>
      <xdr:col>39</xdr:col>
      <xdr:colOff>366889</xdr:colOff>
      <xdr:row>87</xdr:row>
      <xdr:rowOff>56443</xdr:rowOff>
    </xdr:to>
    <xdr:graphicFrame macro="">
      <xdr:nvGraphicFramePr>
        <xdr:cNvPr id="32" name="Chart 31">
          <a:extLst>
            <a:ext uri="{FF2B5EF4-FFF2-40B4-BE49-F238E27FC236}">
              <a16:creationId xmlns:a16="http://schemas.microsoft.com/office/drawing/2014/main" id="{8534BC4C-DAC5-45A0-BE5D-0DEB4C615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8.676447685182" createdVersion="8" refreshedVersion="8" minRefreshableVersion="3" recordCount="10" xr:uid="{C48B5F94-53EE-4000-BD1E-3DF1D04C2846}">
  <cacheSource type="worksheet">
    <worksheetSource ref="A2:F12" sheet="Population"/>
  </cacheSource>
  <cacheFields count="6">
    <cacheField name="Area" numFmtId="0">
      <sharedItems/>
    </cacheField>
    <cacheField name="Urban/Rural" numFmtId="0">
      <sharedItems count="2">
        <s v="Rural"/>
        <s v="Urban"/>
      </sharedItems>
    </cacheField>
    <cacheField name="Age Group" numFmtId="0">
      <sharedItems count="5">
        <s v="0-19"/>
        <s v="20-39"/>
        <s v="40-59"/>
        <s v="60-79"/>
        <s v="80+"/>
      </sharedItems>
    </cacheField>
    <cacheField name="Male Population" numFmtId="0">
      <sharedItems containsSemiMixedTypes="0" containsString="0" containsNumber="1" containsInteger="1" minValue="3680" maxValue="174230"/>
    </cacheField>
    <cacheField name="Female Population" numFmtId="0">
      <sharedItems containsSemiMixedTypes="0" containsString="0" containsNumber="1" containsInteger="1" minValue="3807" maxValue="160211"/>
    </cacheField>
    <cacheField name="Total Population" numFmtId="0">
      <sharedItems containsSemiMixedTypes="0" containsString="0" containsNumber="1" containsInteger="1" minValue="7487" maxValue="334441"/>
    </cacheField>
  </cacheFields>
  <extLst>
    <ext xmlns:x14="http://schemas.microsoft.com/office/spreadsheetml/2009/9/main" uri="{725AE2AE-9491-48be-B2B4-4EB974FC3084}">
      <x14:pivotCacheDefinition pivotCacheId="1570966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8.521651273149" createdVersion="8" refreshedVersion="8" minRefreshableVersion="3" recordCount="20" xr:uid="{E2A48CE9-577D-4D1D-A22C-54140D4C1B3F}">
  <cacheSource type="worksheet">
    <worksheetSource name="Table4"/>
  </cacheSource>
  <cacheFields count="9">
    <cacheField name="Area" numFmtId="0">
      <sharedItems/>
    </cacheField>
    <cacheField name="Urban/Rural" numFmtId="0">
      <sharedItems count="2">
        <s v="Rural"/>
        <s v="Urban"/>
      </sharedItems>
    </cacheField>
    <cacheField name="Education" numFmtId="0">
      <sharedItems count="2">
        <s v="Illiterate"/>
        <s v="Literate"/>
      </sharedItems>
    </cacheField>
    <cacheField name="Age" numFmtId="0">
      <sharedItems count="5">
        <s v="0-19"/>
        <s v="20-39"/>
        <s v="40-59"/>
        <s v="60-79"/>
        <s v="80+"/>
      </sharedItems>
    </cacheField>
    <cacheField name="Total Women" numFmtId="0">
      <sharedItems containsSemiMixedTypes="0" containsString="0" containsNumber="1" containsInteger="1" minValue="735" maxValue="140233"/>
    </cacheField>
    <cacheField name="Total ever married_x000a_women" numFmtId="0">
      <sharedItems containsSemiMixedTypes="0" containsString="0" containsNumber="1" containsInteger="1" minValue="637" maxValue="105484"/>
    </cacheField>
    <cacheField name="Total Number of Surviving Children Male" numFmtId="0">
      <sharedItems containsSemiMixedTypes="0" containsString="0" containsNumber="1" containsInteger="1" minValue="274" maxValue="89454"/>
    </cacheField>
    <cacheField name="Total Number of Surviving Children Female" numFmtId="0">
      <sharedItems containsSemiMixedTypes="0" containsString="0" containsNumber="1" containsInteger="1" minValue="249" maxValue="77443"/>
    </cacheField>
    <cacheField name="Total Surviving Children" numFmtId="0">
      <sharedItems containsSemiMixedTypes="0" containsString="0" containsNumber="1" containsInteger="1" minValue="523" maxValue="1668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8.546528587962" createdVersion="8" refreshedVersion="8" minRefreshableVersion="3" recordCount="19" xr:uid="{50FAAC33-19A7-4BDC-B1D2-0BB5A15322C7}">
  <cacheSource type="worksheet">
    <worksheetSource ref="A2:J21" sheet="Surviving Children"/>
  </cacheSource>
  <cacheFields count="10">
    <cacheField name="Area" numFmtId="0">
      <sharedItems/>
    </cacheField>
    <cacheField name="Urban/Rural" numFmtId="0">
      <sharedItems count="2">
        <s v="Rural"/>
        <s v="Urban"/>
      </sharedItems>
    </cacheField>
    <cacheField name="Education" numFmtId="0">
      <sharedItems/>
    </cacheField>
    <cacheField name="Age" numFmtId="0">
      <sharedItems/>
    </cacheField>
    <cacheField name="Total Women" numFmtId="0">
      <sharedItems containsSemiMixedTypes="0" containsString="0" containsNumber="1" containsInteger="1" minValue="735" maxValue="140233"/>
    </cacheField>
    <cacheField name="Total ever married_x000a_women" numFmtId="0">
      <sharedItems containsSemiMixedTypes="0" containsString="0" containsNumber="1" containsInteger="1" minValue="637" maxValue="105484"/>
    </cacheField>
    <cacheField name="Total ever Married/ Total women" numFmtId="10">
      <sharedItems containsSemiMixedTypes="0" containsString="0" containsNumber="1" minValue="1.2470096257087422E-2" maxValue="0.99614945341817585"/>
    </cacheField>
    <cacheField name="Total Number of Surviving Children Male" numFmtId="0">
      <sharedItems containsSemiMixedTypes="0" containsString="0" containsNumber="1" containsInteger="1" minValue="274" maxValue="89454"/>
    </cacheField>
    <cacheField name="Total Number of Surviving Children Female" numFmtId="0">
      <sharedItems containsSemiMixedTypes="0" containsString="0" containsNumber="1" containsInteger="1" minValue="249" maxValue="77443"/>
    </cacheField>
    <cacheField name="Total Surviving Children" numFmtId="0">
      <sharedItems containsSemiMixedTypes="0" containsString="0" containsNumber="1" containsInteger="1" minValue="523" maxValue="1668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8.744149421298" createdVersion="8" refreshedVersion="8" minRefreshableVersion="3" recordCount="12" xr:uid="{6E66EAA5-00A5-40AA-BD7C-15B7C749207B}">
  <cacheSource type="worksheet">
    <worksheetSource ref="A2:G14" sheet="Education"/>
  </cacheSource>
  <cacheFields count="7">
    <cacheField name="Area" numFmtId="0">
      <sharedItems/>
    </cacheField>
    <cacheField name="Urban/Rural" numFmtId="0">
      <sharedItems count="2">
        <s v="Rural"/>
        <s v="Urban"/>
      </sharedItems>
    </cacheField>
    <cacheField name="Age Group" numFmtId="0">
      <sharedItems count="3">
        <s v="0-24"/>
        <s v="25-59"/>
        <s v="60+"/>
      </sharedItems>
    </cacheField>
    <cacheField name="Gender" numFmtId="0">
      <sharedItems count="2">
        <s v="Male"/>
        <s v="Female"/>
      </sharedItems>
    </cacheField>
    <cacheField name="Population" numFmtId="0">
      <sharedItems containsSemiMixedTypes="0" containsString="0" containsNumber="1" containsInteger="1" minValue="30900" maxValue="232330"/>
    </cacheField>
    <cacheField name="Attending" numFmtId="0">
      <sharedItems containsSemiMixedTypes="0" containsString="0" containsNumber="1" containsInteger="1" minValue="315" maxValue="143963"/>
    </cacheField>
    <cacheField name="Attendance Rate" numFmtId="9">
      <sharedItems containsSemiMixedTypes="0" containsString="0" containsNumber="1" minValue="9.1139094934161342E-3" maxValue="0.61964877544871522"/>
    </cacheField>
  </cacheFields>
  <extLst>
    <ext xmlns:x14="http://schemas.microsoft.com/office/spreadsheetml/2009/9/main" uri="{725AE2AE-9491-48be-B2B4-4EB974FC3084}">
      <x14:pivotCacheDefinition pivotCacheId="174472726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8.958228009258" createdVersion="8" refreshedVersion="8" minRefreshableVersion="3" recordCount="10" xr:uid="{F1FE60E0-5CDA-4BFE-AF96-6F03045F5C0A}">
  <cacheSource type="worksheet">
    <worksheetSource ref="A2:AA12" sheet="Marital Status"/>
  </cacheSource>
  <cacheFields count="27">
    <cacheField name="Area" numFmtId="0">
      <sharedItems/>
    </cacheField>
    <cacheField name="Urban/Rural" numFmtId="0">
      <sharedItems count="2">
        <s v="Rural"/>
        <s v="Urban"/>
      </sharedItems>
    </cacheField>
    <cacheField name="Marital Status" numFmtId="0">
      <sharedItems count="6">
        <s v="Never married"/>
        <s v="Married"/>
        <s v="Widowed"/>
        <s v="Separated"/>
        <s v="Divorced"/>
        <s v="Total" u="1"/>
      </sharedItems>
    </cacheField>
    <cacheField name="Total Male Population" numFmtId="0">
      <sharedItems containsSemiMixedTypes="0" containsString="0" containsNumber="1" containsInteger="1" minValue="341" maxValue="258708"/>
    </cacheField>
    <cacheField name="Total Female Population" numFmtId="0">
      <sharedItems containsSemiMixedTypes="0" containsString="0" containsNumber="1" containsInteger="1" minValue="389" maxValue="226298"/>
    </cacheField>
    <cacheField name="Total Population" numFmtId="0">
      <sharedItems containsSemiMixedTypes="0" containsString="0" containsNumber="1" containsInteger="1" minValue="730" maxValue="457260"/>
    </cacheField>
    <cacheField name="Hindu Male Population" numFmtId="0">
      <sharedItems containsSemiMixedTypes="0" containsString="0" containsNumber="1" containsInteger="1" minValue="280" maxValue="211969"/>
    </cacheField>
    <cacheField name="Hindu Female Population" numFmtId="0">
      <sharedItems containsSemiMixedTypes="0" containsString="0" containsNumber="1" containsInteger="1" minValue="323" maxValue="194664"/>
    </cacheField>
    <cacheField name="Total Hindu Population" numFmtId="0">
      <sharedItems containsSemiMixedTypes="0" containsString="0" containsNumber="1" containsInteger="1" minValue="603" maxValue="392811"/>
    </cacheField>
    <cacheField name="Muslim Male Population" numFmtId="0">
      <sharedItems containsSemiMixedTypes="0" containsString="0" containsNumber="1" containsInteger="1" minValue="36" maxValue="33216"/>
    </cacheField>
    <cacheField name="Muslim Female Population" numFmtId="0">
      <sharedItems containsSemiMixedTypes="0" containsString="0" containsNumber="1" containsInteger="1" minValue="46" maxValue="25807"/>
    </cacheField>
    <cacheField name="Total Muslim Population" numFmtId="0">
      <sharedItems containsSemiMixedTypes="0" containsString="0" containsNumber="1" containsInteger="1" minValue="90" maxValue="58001"/>
    </cacheField>
    <cacheField name="Christian Male Population" numFmtId="0">
      <sharedItems containsSemiMixedTypes="0" containsString="0" containsNumber="1" containsInteger="1" minValue="2" maxValue="2341"/>
    </cacheField>
    <cacheField name="Christian Female Population" numFmtId="0">
      <sharedItems containsSemiMixedTypes="0" containsString="0" containsNumber="1" containsInteger="1" minValue="7" maxValue="2165"/>
    </cacheField>
    <cacheField name="Christian Total Population" numFmtId="0">
      <sharedItems containsSemiMixedTypes="0" containsString="0" containsNumber="1" containsInteger="1" minValue="9" maxValue="4429"/>
    </cacheField>
    <cacheField name="Sikh Male Population" numFmtId="0">
      <sharedItems containsSemiMixedTypes="0" containsString="0" containsNumber="1" containsInteger="1" minValue="6" maxValue="6997"/>
    </cacheField>
    <cacheField name="Sikh Female Population" numFmtId="0">
      <sharedItems containsSemiMixedTypes="0" containsString="0" containsNumber="1" containsInteger="1" minValue="4" maxValue="6880"/>
    </cacheField>
    <cacheField name="Sikh Total Population" numFmtId="0">
      <sharedItems containsSemiMixedTypes="0" containsString="0" containsNumber="1" containsInteger="1" minValue="10" maxValue="13877"/>
    </cacheField>
    <cacheField name="Buddhist Male Population" numFmtId="0">
      <sharedItems containsSemiMixedTypes="0" containsString="0" containsNumber="1" containsInteger="1" minValue="8" maxValue="2799"/>
    </cacheField>
    <cacheField name="Buddhist Female Population" numFmtId="0">
      <sharedItems containsSemiMixedTypes="0" containsString="0" containsNumber="1" containsInteger="1" minValue="4" maxValue="1261"/>
    </cacheField>
    <cacheField name="Buddhist Total Population" numFmtId="0">
      <sharedItems containsSemiMixedTypes="0" containsString="0" containsNumber="1" containsInteger="1" minValue="13" maxValue="4018"/>
    </cacheField>
    <cacheField name="Jain Male Population" numFmtId="0">
      <sharedItems containsSemiMixedTypes="0" containsString="0" containsNumber="1" containsInteger="1" minValue="0" maxValue="1301"/>
    </cacheField>
    <cacheField name="Jain Female Population" numFmtId="0">
      <sharedItems containsSemiMixedTypes="0" containsString="0" containsNumber="1" containsInteger="1" minValue="0" maxValue="1332"/>
    </cacheField>
    <cacheField name="Jain Total Population" numFmtId="0">
      <sharedItems containsSemiMixedTypes="0" containsString="0" containsNumber="1" containsInteger="1" minValue="0" maxValue="2633"/>
    </cacheField>
    <cacheField name="Other Male Population" numFmtId="0">
      <sharedItems containsSemiMixedTypes="0" containsString="0" containsNumber="1" containsInteger="1" minValue="0" maxValue="30"/>
    </cacheField>
    <cacheField name="Other Female Population" numFmtId="0">
      <sharedItems containsSemiMixedTypes="0" containsString="0" containsNumber="1" containsInteger="1" minValue="0" maxValue="41"/>
    </cacheField>
    <cacheField name="Other Total Population" numFmtId="0">
      <sharedItems containsSemiMixedTypes="0" containsString="0" containsNumber="1" containsInteger="1" minValue="0" maxValue="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Dehradun"/>
    <x v="0"/>
    <x v="0"/>
    <n v="126836"/>
    <n v="112322"/>
    <n v="239158"/>
  </r>
  <r>
    <s v="Dehradun"/>
    <x v="0"/>
    <x v="1"/>
    <n v="127202"/>
    <n v="122620"/>
    <n v="249822"/>
  </r>
  <r>
    <s v="Dehradun"/>
    <x v="0"/>
    <x v="2"/>
    <n v="67165"/>
    <n v="62312"/>
    <n v="129477"/>
  </r>
  <r>
    <s v="Dehradun"/>
    <x v="0"/>
    <x v="3"/>
    <n v="31102"/>
    <n v="31102"/>
    <n v="31102"/>
  </r>
  <r>
    <s v="Dehradun"/>
    <x v="0"/>
    <x v="4"/>
    <n v="3680"/>
    <n v="3807"/>
    <n v="7487"/>
  </r>
  <r>
    <s v="Dehradun"/>
    <x v="1"/>
    <x v="0"/>
    <n v="143451"/>
    <n v="117889"/>
    <n v="261340"/>
  </r>
  <r>
    <s v="Dehradun"/>
    <x v="1"/>
    <x v="1"/>
    <n v="174230"/>
    <n v="160211"/>
    <n v="334441"/>
  </r>
  <r>
    <s v="Dehradun"/>
    <x v="1"/>
    <x v="2"/>
    <n v="99878"/>
    <n v="91078"/>
    <n v="190956"/>
  </r>
  <r>
    <s v="Dehradun"/>
    <x v="1"/>
    <x v="3"/>
    <n v="37921"/>
    <n v="34202"/>
    <n v="72123"/>
  </r>
  <r>
    <s v="Dehradun"/>
    <x v="1"/>
    <x v="4"/>
    <n v="4726"/>
    <n v="5344"/>
    <n v="100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Dehradun"/>
    <x v="0"/>
    <x v="0"/>
    <x v="0"/>
    <n v="54399"/>
    <n v="896"/>
    <n v="405"/>
    <n v="372"/>
    <n v="777"/>
  </r>
  <r>
    <s v="Dehradun"/>
    <x v="0"/>
    <x v="0"/>
    <x v="1"/>
    <n v="27681"/>
    <n v="26695"/>
    <n v="40684"/>
    <n v="37870"/>
    <n v="78554"/>
  </r>
  <r>
    <s v="Dehradun"/>
    <x v="0"/>
    <x v="0"/>
    <x v="2"/>
    <n v="30645"/>
    <n v="30527"/>
    <n v="63347"/>
    <n v="56251"/>
    <n v="119598"/>
  </r>
  <r>
    <s v="Dehradun"/>
    <x v="0"/>
    <x v="0"/>
    <x v="3"/>
    <n v="20294"/>
    <n v="20165"/>
    <n v="43198"/>
    <n v="38054"/>
    <n v="81252"/>
  </r>
  <r>
    <s v="Dehradun"/>
    <x v="0"/>
    <x v="0"/>
    <x v="4"/>
    <n v="3072"/>
    <n v="3032"/>
    <n v="6338"/>
    <n v="5648"/>
    <n v="11986"/>
  </r>
  <r>
    <s v="Dehradun"/>
    <x v="0"/>
    <x v="1"/>
    <x v="0"/>
    <n v="90673"/>
    <n v="3393"/>
    <n v="593"/>
    <n v="586"/>
    <n v="1179"/>
  </r>
  <r>
    <s v="Dehradun"/>
    <x v="0"/>
    <x v="1"/>
    <x v="1"/>
    <n v="94939"/>
    <n v="73322"/>
    <n v="66619"/>
    <n v="60061"/>
    <n v="126680"/>
  </r>
  <r>
    <s v="Dehradun"/>
    <x v="0"/>
    <x v="1"/>
    <x v="2"/>
    <n v="31667"/>
    <n v="31324"/>
    <n v="46759"/>
    <n v="41244"/>
    <n v="88003"/>
  </r>
  <r>
    <s v="Dehradun"/>
    <x v="0"/>
    <x v="1"/>
    <x v="3"/>
    <n v="6799"/>
    <n v="6355"/>
    <n v="11348"/>
    <n v="10171"/>
    <n v="21519"/>
  </r>
  <r>
    <s v="Dehradun"/>
    <x v="0"/>
    <x v="1"/>
    <x v="4"/>
    <n v="735"/>
    <n v="637"/>
    <n v="1033"/>
    <n v="943"/>
    <n v="1976"/>
  </r>
  <r>
    <s v="Dehradun"/>
    <x v="1"/>
    <x v="0"/>
    <x v="0"/>
    <n v="53087"/>
    <n v="662"/>
    <n v="274"/>
    <n v="249"/>
    <n v="523"/>
  </r>
  <r>
    <s v="Dehradun"/>
    <x v="1"/>
    <x v="0"/>
    <x v="1"/>
    <n v="19978"/>
    <n v="18963"/>
    <n v="26537"/>
    <n v="23487"/>
    <n v="50024"/>
  </r>
  <r>
    <s v="Dehradun"/>
    <x v="1"/>
    <x v="0"/>
    <x v="2"/>
    <n v="21555"/>
    <n v="21327"/>
    <n v="41128"/>
    <n v="34964"/>
    <n v="76092"/>
  </r>
  <r>
    <s v="Dehradun"/>
    <x v="1"/>
    <x v="0"/>
    <x v="3"/>
    <n v="12988"/>
    <n v="12874"/>
    <n v="26060"/>
    <n v="22137"/>
    <n v="48197"/>
  </r>
  <r>
    <s v="Dehradun"/>
    <x v="1"/>
    <x v="0"/>
    <x v="4"/>
    <n v="2759"/>
    <n v="2697"/>
    <n v="5260"/>
    <n v="4631"/>
    <n v="9891"/>
  </r>
  <r>
    <s v="Dehradun"/>
    <x v="1"/>
    <x v="1"/>
    <x v="0"/>
    <n v="97133"/>
    <n v="3944"/>
    <n v="679"/>
    <n v="588"/>
    <n v="1267"/>
  </r>
  <r>
    <s v="Dehradun"/>
    <x v="1"/>
    <x v="1"/>
    <x v="1"/>
    <n v="140233"/>
    <n v="105484"/>
    <n v="87459"/>
    <n v="76619"/>
    <n v="164078"/>
  </r>
  <r>
    <s v="Dehradun"/>
    <x v="1"/>
    <x v="1"/>
    <x v="2"/>
    <n v="69523"/>
    <n v="68256"/>
    <n v="89454"/>
    <n v="77443"/>
    <n v="166897"/>
  </r>
  <r>
    <s v="Dehradun"/>
    <x v="1"/>
    <x v="1"/>
    <x v="3"/>
    <n v="21214"/>
    <n v="20495"/>
    <n v="31881"/>
    <n v="28494"/>
    <n v="60375"/>
  </r>
  <r>
    <s v="Dehradun"/>
    <x v="1"/>
    <x v="1"/>
    <x v="4"/>
    <n v="2585"/>
    <n v="2388"/>
    <n v="4007"/>
    <n v="3607"/>
    <n v="76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Dehradun"/>
    <x v="0"/>
    <s v="Illiterate"/>
    <s v="0-19"/>
    <n v="54399"/>
    <n v="896"/>
    <n v="1.6470891009025899E-2"/>
    <n v="405"/>
    <n v="372"/>
    <n v="777"/>
  </r>
  <r>
    <s v="Dehradun"/>
    <x v="0"/>
    <s v="Illiterate"/>
    <s v="20-39"/>
    <n v="27681"/>
    <n v="26695"/>
    <n v="0.96437989957010228"/>
    <n v="40684"/>
    <n v="37870"/>
    <n v="78554"/>
  </r>
  <r>
    <s v="Dehradun"/>
    <x v="0"/>
    <s v="Illiterate"/>
    <s v="40-59"/>
    <n v="30645"/>
    <n v="30527"/>
    <n v="0.99614945341817585"/>
    <n v="63347"/>
    <n v="56251"/>
    <n v="119598"/>
  </r>
  <r>
    <s v="Dehradun"/>
    <x v="0"/>
    <s v="Illiterate"/>
    <s v="60-79"/>
    <n v="20294"/>
    <n v="20165"/>
    <n v="0.9936434414112546"/>
    <n v="43198"/>
    <n v="38054"/>
    <n v="81252"/>
  </r>
  <r>
    <s v="Dehradun"/>
    <x v="0"/>
    <s v="Illiterate"/>
    <s v="80+"/>
    <n v="3072"/>
    <n v="3032"/>
    <n v="0.98697916666666663"/>
    <n v="6338"/>
    <n v="5648"/>
    <n v="11986"/>
  </r>
  <r>
    <s v="Dehradun"/>
    <x v="0"/>
    <s v="Literate"/>
    <s v="0-19"/>
    <n v="90673"/>
    <n v="3393"/>
    <n v="3.7420180208000177E-2"/>
    <n v="593"/>
    <n v="586"/>
    <n v="1179"/>
  </r>
  <r>
    <s v="Dehradun"/>
    <x v="0"/>
    <s v="Literate"/>
    <s v="20-39"/>
    <n v="94939"/>
    <n v="73322"/>
    <n v="0.77230642833819607"/>
    <n v="66619"/>
    <n v="60061"/>
    <n v="126680"/>
  </r>
  <r>
    <s v="Dehradun"/>
    <x v="0"/>
    <s v="Literate"/>
    <s v="40-59"/>
    <n v="31667"/>
    <n v="31324"/>
    <n v="0.98916853506805191"/>
    <n v="46759"/>
    <n v="41244"/>
    <n v="88003"/>
  </r>
  <r>
    <s v="Dehradun"/>
    <x v="0"/>
    <s v="Literate"/>
    <s v="60-79"/>
    <n v="6799"/>
    <n v="6355"/>
    <n v="0.93469627886453888"/>
    <n v="11348"/>
    <n v="10171"/>
    <n v="21519"/>
  </r>
  <r>
    <s v="Dehradun"/>
    <x v="0"/>
    <s v="Literate"/>
    <s v="80+"/>
    <n v="735"/>
    <n v="637"/>
    <n v="0.8666666666666667"/>
    <n v="1033"/>
    <n v="943"/>
    <n v="1976"/>
  </r>
  <r>
    <s v="Dehradun"/>
    <x v="1"/>
    <s v="Illiterate"/>
    <s v="0-19"/>
    <n v="53087"/>
    <n v="662"/>
    <n v="1.2470096257087422E-2"/>
    <n v="274"/>
    <n v="249"/>
    <n v="523"/>
  </r>
  <r>
    <s v="Dehradun"/>
    <x v="1"/>
    <s v="Illiterate"/>
    <s v="20-39"/>
    <n v="19978"/>
    <n v="18963"/>
    <n v="0.94919411352487737"/>
    <n v="26537"/>
    <n v="23487"/>
    <n v="50024"/>
  </r>
  <r>
    <s v="Dehradun"/>
    <x v="1"/>
    <s v="Illiterate"/>
    <s v="40-59"/>
    <n v="21555"/>
    <n v="21327"/>
    <n v="0.98942240779401536"/>
    <n v="41128"/>
    <n v="34964"/>
    <n v="76092"/>
  </r>
  <r>
    <s v="Dehradun"/>
    <x v="1"/>
    <s v="Illiterate"/>
    <s v="60-79"/>
    <n v="12988"/>
    <n v="12874"/>
    <n v="0.99122266707730211"/>
    <n v="26060"/>
    <n v="22137"/>
    <n v="48197"/>
  </r>
  <r>
    <s v="Dehradun"/>
    <x v="1"/>
    <s v="Illiterate"/>
    <s v="80+"/>
    <n v="2759"/>
    <n v="2697"/>
    <n v="0.97752808988764039"/>
    <n v="5260"/>
    <n v="4631"/>
    <n v="9891"/>
  </r>
  <r>
    <s v="Dehradun"/>
    <x v="1"/>
    <s v="Literate"/>
    <s v="0-19"/>
    <n v="97133"/>
    <n v="3944"/>
    <n v="4.0604120123953757E-2"/>
    <n v="679"/>
    <n v="588"/>
    <n v="1267"/>
  </r>
  <r>
    <s v="Dehradun"/>
    <x v="1"/>
    <s v="Literate"/>
    <s v="20-39"/>
    <n v="140233"/>
    <n v="105484"/>
    <n v="0.75220525839139152"/>
    <n v="87459"/>
    <n v="76619"/>
    <n v="164078"/>
  </r>
  <r>
    <s v="Dehradun"/>
    <x v="1"/>
    <s v="Literate"/>
    <s v="40-59"/>
    <n v="69523"/>
    <n v="68256"/>
    <n v="0.98177581519784818"/>
    <n v="89454"/>
    <n v="77443"/>
    <n v="166897"/>
  </r>
  <r>
    <s v="Dehradun"/>
    <x v="1"/>
    <s v="Literate"/>
    <s v="60-79"/>
    <n v="21214"/>
    <n v="20495"/>
    <n v="0.96610728764023757"/>
    <n v="31881"/>
    <n v="28494"/>
    <n v="603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Dehradun"/>
    <x v="0"/>
    <x v="0"/>
    <x v="0"/>
    <n v="201960"/>
    <n v="119594"/>
    <n v="0.59216676569617743"/>
  </r>
  <r>
    <s v="Dehradun"/>
    <x v="0"/>
    <x v="0"/>
    <x v="1"/>
    <n v="182960"/>
    <n v="104298"/>
    <n v="0.57005902929602104"/>
  </r>
  <r>
    <s v="Dehradun"/>
    <x v="0"/>
    <x v="1"/>
    <x v="0"/>
    <n v="154927"/>
    <n v="4015"/>
    <n v="2.5915431138536213E-2"/>
  </r>
  <r>
    <s v="Dehradun"/>
    <x v="0"/>
    <x v="1"/>
    <x v="1"/>
    <n v="147044"/>
    <n v="2827"/>
    <n v="1.9225537934223769E-2"/>
  </r>
  <r>
    <s v="Dehradun"/>
    <x v="0"/>
    <x v="2"/>
    <x v="0"/>
    <n v="34782"/>
    <n v="317"/>
    <n v="9.1139094934161342E-3"/>
  </r>
  <r>
    <s v="Dehradun"/>
    <x v="0"/>
    <x v="2"/>
    <x v="1"/>
    <n v="30900"/>
    <n v="315"/>
    <n v="1.0194174757281554E-2"/>
  </r>
  <r>
    <s v="Dehradun"/>
    <x v="1"/>
    <x v="0"/>
    <x v="0"/>
    <n v="232330"/>
    <n v="143963"/>
    <n v="0.61964877544871522"/>
  </r>
  <r>
    <s v="Dehradun"/>
    <x v="1"/>
    <x v="0"/>
    <x v="1"/>
    <n v="196085"/>
    <n v="121331"/>
    <n v="0.6187673712930617"/>
  </r>
  <r>
    <s v="Dehradun"/>
    <x v="1"/>
    <x v="1"/>
    <x v="0"/>
    <n v="222238"/>
    <n v="8214"/>
    <n v="3.6960375813317257E-2"/>
  </r>
  <r>
    <s v="Dehradun"/>
    <x v="1"/>
    <x v="1"/>
    <x v="1"/>
    <n v="205424"/>
    <n v="6661"/>
    <n v="3.2425617259911207E-2"/>
  </r>
  <r>
    <s v="Dehradun"/>
    <x v="1"/>
    <x v="2"/>
    <x v="0"/>
    <n v="42647"/>
    <n v="802"/>
    <n v="1.8805543180059558E-2"/>
  </r>
  <r>
    <s v="Dehradun"/>
    <x v="1"/>
    <x v="2"/>
    <x v="1"/>
    <n v="39546"/>
    <n v="584"/>
    <n v="1.4767612400748495E-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Dehradun"/>
    <x v="0"/>
    <x v="0"/>
    <n v="216742"/>
    <n v="165047"/>
    <n v="381789"/>
    <n v="178570"/>
    <n v="134879"/>
    <n v="313449"/>
    <n v="31914"/>
    <n v="25807"/>
    <n v="57721"/>
    <n v="1135"/>
    <n v="1021"/>
    <n v="2156"/>
    <n v="2462"/>
    <n v="1756"/>
    <n v="4218"/>
    <n v="2236"/>
    <n v="1261"/>
    <n v="3497"/>
    <n v="93"/>
    <n v="89"/>
    <n v="182"/>
    <n v="30"/>
    <n v="20"/>
    <n v="50"/>
  </r>
  <r>
    <s v="Dehradun"/>
    <x v="0"/>
    <x v="1"/>
    <n v="167349"/>
    <n v="172187"/>
    <n v="339536"/>
    <n v="143025"/>
    <n v="147901"/>
    <n v="290926"/>
    <n v="19781"/>
    <n v="19668"/>
    <n v="39449"/>
    <n v="922"/>
    <n v="907"/>
    <n v="1829"/>
    <n v="2377"/>
    <n v="2391"/>
    <n v="4768"/>
    <n v="928"/>
    <n v="1023"/>
    <n v="1951"/>
    <n v="89"/>
    <n v="102"/>
    <n v="191"/>
    <n v="18"/>
    <n v="20"/>
    <n v="38"/>
  </r>
  <r>
    <s v="Dehradun"/>
    <x v="0"/>
    <x v="2"/>
    <n v="7680"/>
    <n v="23485"/>
    <n v="31165"/>
    <n v="6688"/>
    <n v="20763"/>
    <n v="27451"/>
    <n v="750"/>
    <n v="1953"/>
    <n v="2703"/>
    <n v="31"/>
    <n v="126"/>
    <n v="157"/>
    <n v="116"/>
    <n v="347"/>
    <n v="463"/>
    <n v="83"/>
    <n v="252"/>
    <n v="335"/>
    <n v="3"/>
    <n v="12"/>
    <n v="15"/>
    <n v="2"/>
    <n v="2"/>
    <n v="4"/>
  </r>
  <r>
    <s v="Dehradun"/>
    <x v="0"/>
    <x v="3"/>
    <n v="779"/>
    <n v="754"/>
    <n v="1533"/>
    <n v="678"/>
    <n v="655"/>
    <n v="1333"/>
    <n v="61"/>
    <n v="68"/>
    <n v="129"/>
    <n v="6"/>
    <n v="10"/>
    <n v="16"/>
    <n v="19"/>
    <n v="8"/>
    <n v="27"/>
    <n v="15"/>
    <n v="12"/>
    <n v="27"/>
    <n v="0"/>
    <n v="0"/>
    <n v="0"/>
    <n v="0"/>
    <n v="0"/>
    <n v="0"/>
  </r>
  <r>
    <s v="Dehradun"/>
    <x v="0"/>
    <x v="4"/>
    <n v="341"/>
    <n v="389"/>
    <n v="730"/>
    <n v="280"/>
    <n v="323"/>
    <n v="603"/>
    <n v="44"/>
    <n v="46"/>
    <n v="90"/>
    <n v="2"/>
    <n v="7"/>
    <n v="9"/>
    <n v="6"/>
    <n v="4"/>
    <n v="10"/>
    <n v="8"/>
    <n v="5"/>
    <n v="13"/>
    <n v="0"/>
    <n v="3"/>
    <n v="3"/>
    <n v="0"/>
    <n v="0"/>
    <n v="0"/>
  </r>
  <r>
    <s v="Dehradun"/>
    <x v="1"/>
    <x v="0"/>
    <n v="258708"/>
    <n v="184641"/>
    <n v="443349"/>
    <n v="211969"/>
    <n v="150378"/>
    <n v="362347"/>
    <n v="33216"/>
    <n v="24785"/>
    <n v="58001"/>
    <n v="2341"/>
    <n v="2088"/>
    <n v="4429"/>
    <n v="6695"/>
    <n v="4921"/>
    <n v="11616"/>
    <n v="2799"/>
    <n v="1219"/>
    <n v="4018"/>
    <n v="1039"/>
    <n v="794"/>
    <n v="1833"/>
    <n v="27"/>
    <n v="41"/>
    <n v="68"/>
  </r>
  <r>
    <s v="Dehradun"/>
    <x v="1"/>
    <x v="1"/>
    <n v="230962"/>
    <n v="226298"/>
    <n v="457260"/>
    <n v="198147"/>
    <n v="194664"/>
    <n v="392811"/>
    <n v="20991"/>
    <n v="20191"/>
    <n v="41182"/>
    <n v="2083"/>
    <n v="2165"/>
    <n v="4248"/>
    <n v="6997"/>
    <n v="6880"/>
    <n v="13877"/>
    <n v="1084"/>
    <n v="676"/>
    <n v="1760"/>
    <n v="1301"/>
    <n v="1332"/>
    <n v="2633"/>
    <n v="20"/>
    <n v="23"/>
    <n v="43"/>
  </r>
  <r>
    <s v="Dehradun"/>
    <x v="1"/>
    <x v="2"/>
    <n v="8470"/>
    <n v="29940"/>
    <n v="38410"/>
    <n v="7250"/>
    <n v="26314"/>
    <n v="33564"/>
    <n v="612"/>
    <n v="1927"/>
    <n v="2539"/>
    <n v="112"/>
    <n v="389"/>
    <n v="501"/>
    <n v="367"/>
    <n v="991"/>
    <n v="1358"/>
    <n v="41"/>
    <n v="99"/>
    <n v="140"/>
    <n v="72"/>
    <n v="174"/>
    <n v="246"/>
    <n v="3"/>
    <n v="10"/>
    <n v="13"/>
  </r>
  <r>
    <s v="Dehradun"/>
    <x v="1"/>
    <x v="3"/>
    <n v="746"/>
    <n v="1078"/>
    <n v="1824"/>
    <n v="640"/>
    <n v="931"/>
    <n v="1571"/>
    <n v="44"/>
    <n v="80"/>
    <n v="124"/>
    <n v="14"/>
    <n v="22"/>
    <n v="36"/>
    <n v="30"/>
    <n v="38"/>
    <n v="68"/>
    <n v="13"/>
    <n v="4"/>
    <n v="17"/>
    <n v="2"/>
    <n v="2"/>
    <n v="4"/>
    <n v="0"/>
    <n v="1"/>
    <n v="1"/>
  </r>
  <r>
    <s v="Dehradun"/>
    <x v="1"/>
    <x v="4"/>
    <n v="422"/>
    <n v="676"/>
    <n v="1098"/>
    <n v="337"/>
    <n v="524"/>
    <n v="861"/>
    <n v="36"/>
    <n v="83"/>
    <n v="119"/>
    <n v="10"/>
    <n v="25"/>
    <n v="35"/>
    <n v="24"/>
    <n v="25"/>
    <n v="49"/>
    <n v="8"/>
    <n v="12"/>
    <n v="20"/>
    <n v="6"/>
    <n v="4"/>
    <n v="1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D9287-1EBA-4FF5-B0DF-109398996889}" name="PivotTable5" cacheId="0"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H2:J7" firstHeaderRow="0" firstDataRow="1" firstDataCol="1"/>
  <pivotFields count="6">
    <pivotField showAll="0"/>
    <pivotField showAll="0">
      <items count="3">
        <item x="0"/>
        <item x="1"/>
        <item t="default"/>
      </items>
    </pivotField>
    <pivotField axis="axisRow" showAll="0">
      <items count="6">
        <item x="0"/>
        <item x="1"/>
        <item x="2"/>
        <item x="3"/>
        <item x="4"/>
        <item t="default"/>
      </items>
    </pivotField>
    <pivotField dataField="1" showAll="0"/>
    <pivotField dataField="1" showAll="0"/>
    <pivotField showAll="0"/>
  </pivotFields>
  <rowFields count="1">
    <field x="2"/>
  </rowFields>
  <rowItems count="5">
    <i>
      <x/>
    </i>
    <i>
      <x v="1"/>
    </i>
    <i>
      <x v="2"/>
    </i>
    <i>
      <x v="3"/>
    </i>
    <i>
      <x v="4"/>
    </i>
  </rowItems>
  <colFields count="1">
    <field x="-2"/>
  </colFields>
  <colItems count="2">
    <i>
      <x/>
    </i>
    <i i="1">
      <x v="1"/>
    </i>
  </colItems>
  <dataFields count="2">
    <dataField name="Sum of Female Population" fld="4" baseField="0" baseItem="0"/>
    <dataField name="Sum of Male Population" fld="3" baseField="0" baseItem="0"/>
  </dataFields>
  <formats count="20">
    <format dxfId="716">
      <pivotArea type="all" dataOnly="0" outline="0" fieldPosition="0"/>
    </format>
    <format dxfId="715">
      <pivotArea outline="0" collapsedLevelsAreSubtotals="1" fieldPosition="0"/>
    </format>
    <format dxfId="714">
      <pivotArea field="2" type="button" dataOnly="0" labelOnly="1" outline="0" axis="axisRow" fieldPosition="0"/>
    </format>
    <format dxfId="713">
      <pivotArea dataOnly="0" labelOnly="1" fieldPosition="0">
        <references count="1">
          <reference field="2" count="0"/>
        </references>
      </pivotArea>
    </format>
    <format dxfId="712">
      <pivotArea dataOnly="0" labelOnly="1" outline="0" fieldPosition="0">
        <references count="1">
          <reference field="4294967294" count="2">
            <x v="0"/>
            <x v="1"/>
          </reference>
        </references>
      </pivotArea>
    </format>
    <format dxfId="711">
      <pivotArea type="all" dataOnly="0" outline="0" fieldPosition="0"/>
    </format>
    <format dxfId="710">
      <pivotArea outline="0" collapsedLevelsAreSubtotals="1" fieldPosition="0"/>
    </format>
    <format dxfId="709">
      <pivotArea field="2" type="button" dataOnly="0" labelOnly="1" outline="0" axis="axisRow" fieldPosition="0"/>
    </format>
    <format dxfId="708">
      <pivotArea dataOnly="0" labelOnly="1" fieldPosition="0">
        <references count="1">
          <reference field="2" count="0"/>
        </references>
      </pivotArea>
    </format>
    <format dxfId="707">
      <pivotArea dataOnly="0" labelOnly="1" outline="0" fieldPosition="0">
        <references count="1">
          <reference field="4294967294" count="2">
            <x v="0"/>
            <x v="1"/>
          </reference>
        </references>
      </pivotArea>
    </format>
    <format dxfId="706">
      <pivotArea type="all" dataOnly="0" outline="0" fieldPosition="0"/>
    </format>
    <format dxfId="705">
      <pivotArea outline="0" collapsedLevelsAreSubtotals="1" fieldPosition="0"/>
    </format>
    <format dxfId="704">
      <pivotArea field="2" type="button" dataOnly="0" labelOnly="1" outline="0" axis="axisRow" fieldPosition="0"/>
    </format>
    <format dxfId="703">
      <pivotArea dataOnly="0" labelOnly="1" fieldPosition="0">
        <references count="1">
          <reference field="2" count="0"/>
        </references>
      </pivotArea>
    </format>
    <format dxfId="702">
      <pivotArea dataOnly="0" labelOnly="1" outline="0" fieldPosition="0">
        <references count="1">
          <reference field="4294967294" count="2">
            <x v="0"/>
            <x v="1"/>
          </reference>
        </references>
      </pivotArea>
    </format>
    <format dxfId="701">
      <pivotArea type="all" dataOnly="0" outline="0" fieldPosition="0"/>
    </format>
    <format dxfId="700">
      <pivotArea outline="0" collapsedLevelsAreSubtotals="1" fieldPosition="0"/>
    </format>
    <format dxfId="699">
      <pivotArea field="2" type="button" dataOnly="0" labelOnly="1" outline="0" axis="axisRow" fieldPosition="0"/>
    </format>
    <format dxfId="698">
      <pivotArea dataOnly="0" labelOnly="1" fieldPosition="0">
        <references count="1">
          <reference field="2" count="0"/>
        </references>
      </pivotArea>
    </format>
    <format dxfId="697">
      <pivotArea dataOnly="0" labelOnly="1" outline="0" fieldPosition="0">
        <references count="1">
          <reference field="4294967294" count="2">
            <x v="0"/>
            <x v="1"/>
          </reference>
        </references>
      </pivotArea>
    </format>
  </formats>
  <chartFormats count="6">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313C6-4D18-4241-8C3B-93EF3C20F3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2:M5" firstHeaderRow="1" firstDataRow="1" firstDataCol="1"/>
  <pivotFields count="6">
    <pivotField showAll="0"/>
    <pivotField axis="axisRow" showAll="0">
      <items count="3">
        <item x="0"/>
        <item x="1"/>
        <item t="default"/>
      </items>
    </pivotField>
    <pivotField showAll="0"/>
    <pivotField showAll="0"/>
    <pivotField showAll="0"/>
    <pivotField dataField="1" showAll="0"/>
  </pivotFields>
  <rowFields count="1">
    <field x="1"/>
  </rowFields>
  <rowItems count="3">
    <i>
      <x/>
    </i>
    <i>
      <x v="1"/>
    </i>
    <i t="grand">
      <x/>
    </i>
  </rowItems>
  <colItems count="1">
    <i/>
  </colItems>
  <dataFields count="1">
    <dataField name="Sum of Total Population" fld="5" baseField="0" baseItem="0"/>
  </dataFields>
  <formats count="24">
    <format dxfId="740">
      <pivotArea type="all" dataOnly="0" outline="0" fieldPosition="0"/>
    </format>
    <format dxfId="739">
      <pivotArea outline="0" collapsedLevelsAreSubtotals="1" fieldPosition="0"/>
    </format>
    <format dxfId="738">
      <pivotArea field="1" type="button" dataOnly="0" labelOnly="1" outline="0" axis="axisRow" fieldPosition="0"/>
    </format>
    <format dxfId="737">
      <pivotArea dataOnly="0" labelOnly="1" fieldPosition="0">
        <references count="1">
          <reference field="1" count="0"/>
        </references>
      </pivotArea>
    </format>
    <format dxfId="736">
      <pivotArea dataOnly="0" labelOnly="1" grandRow="1" outline="0" fieldPosition="0"/>
    </format>
    <format dxfId="735">
      <pivotArea dataOnly="0" labelOnly="1" outline="0" axis="axisValues" fieldPosition="0"/>
    </format>
    <format dxfId="734">
      <pivotArea type="all" dataOnly="0" outline="0" fieldPosition="0"/>
    </format>
    <format dxfId="733">
      <pivotArea outline="0" collapsedLevelsAreSubtotals="1" fieldPosition="0"/>
    </format>
    <format dxfId="732">
      <pivotArea field="1" type="button" dataOnly="0" labelOnly="1" outline="0" axis="axisRow" fieldPosition="0"/>
    </format>
    <format dxfId="731">
      <pivotArea dataOnly="0" labelOnly="1" fieldPosition="0">
        <references count="1">
          <reference field="1" count="0"/>
        </references>
      </pivotArea>
    </format>
    <format dxfId="730">
      <pivotArea dataOnly="0" labelOnly="1" grandRow="1" outline="0" fieldPosition="0"/>
    </format>
    <format dxfId="729">
      <pivotArea dataOnly="0" labelOnly="1" outline="0" axis="axisValues" fieldPosition="0"/>
    </format>
    <format dxfId="728">
      <pivotArea type="all" dataOnly="0" outline="0" fieldPosition="0"/>
    </format>
    <format dxfId="727">
      <pivotArea outline="0" collapsedLevelsAreSubtotals="1" fieldPosition="0"/>
    </format>
    <format dxfId="726">
      <pivotArea field="1" type="button" dataOnly="0" labelOnly="1" outline="0" axis="axisRow" fieldPosition="0"/>
    </format>
    <format dxfId="725">
      <pivotArea dataOnly="0" labelOnly="1" fieldPosition="0">
        <references count="1">
          <reference field="1" count="0"/>
        </references>
      </pivotArea>
    </format>
    <format dxfId="724">
      <pivotArea dataOnly="0" labelOnly="1" grandRow="1" outline="0" fieldPosition="0"/>
    </format>
    <format dxfId="723">
      <pivotArea dataOnly="0" labelOnly="1" outline="0" axis="axisValues" fieldPosition="0"/>
    </format>
    <format dxfId="722">
      <pivotArea type="all" dataOnly="0" outline="0" fieldPosition="0"/>
    </format>
    <format dxfId="721">
      <pivotArea outline="0" collapsedLevelsAreSubtotals="1" fieldPosition="0"/>
    </format>
    <format dxfId="720">
      <pivotArea field="1" type="button" dataOnly="0" labelOnly="1" outline="0" axis="axisRow" fieldPosition="0"/>
    </format>
    <format dxfId="719">
      <pivotArea dataOnly="0" labelOnly="1" fieldPosition="0">
        <references count="1">
          <reference field="1" count="0"/>
        </references>
      </pivotArea>
    </format>
    <format dxfId="718">
      <pivotArea dataOnly="0" labelOnly="1" grandRow="1" outline="0" fieldPosition="0"/>
    </format>
    <format dxfId="717">
      <pivotArea dataOnly="0" labelOnly="1" outline="0" axis="axisValues" fieldPosition="0"/>
    </format>
  </formats>
  <chartFormats count="6">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1" count="1" selected="0">
            <x v="0"/>
          </reference>
        </references>
      </pivotArea>
    </chartFormat>
    <chartFormat chart="26" format="14">
      <pivotArea type="data" outline="0" fieldPosition="0">
        <references count="2">
          <reference field="4294967294" count="1" selected="0">
            <x v="0"/>
          </reference>
          <reference field="1"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213F51-8DFA-4215-9F58-48540BCF20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S2:T8" firstHeaderRow="1" firstDataRow="1" firstDataCol="1"/>
  <pivotFields count="6">
    <pivotField showAll="0"/>
    <pivotField showAll="0">
      <items count="3">
        <item x="0"/>
        <item x="1"/>
        <item t="default"/>
      </items>
    </pivotField>
    <pivotField axis="axisRow" showAll="0">
      <items count="6">
        <item x="0"/>
        <item x="1"/>
        <item x="2"/>
        <item x="3"/>
        <item x="4"/>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Sum of Total Population" fld="5" baseField="0" baseItem="0"/>
  </dataFields>
  <formats count="24">
    <format dxfId="764">
      <pivotArea type="all" dataOnly="0" outline="0" fieldPosition="0"/>
    </format>
    <format dxfId="763">
      <pivotArea outline="0" collapsedLevelsAreSubtotals="1" fieldPosition="0"/>
    </format>
    <format dxfId="762">
      <pivotArea field="2" type="button" dataOnly="0" labelOnly="1" outline="0" axis="axisRow" fieldPosition="0"/>
    </format>
    <format dxfId="761">
      <pivotArea dataOnly="0" labelOnly="1" fieldPosition="0">
        <references count="1">
          <reference field="2" count="0"/>
        </references>
      </pivotArea>
    </format>
    <format dxfId="760">
      <pivotArea dataOnly="0" labelOnly="1" grandRow="1" outline="0" fieldPosition="0"/>
    </format>
    <format dxfId="759">
      <pivotArea dataOnly="0" labelOnly="1" outline="0" axis="axisValues" fieldPosition="0"/>
    </format>
    <format dxfId="758">
      <pivotArea type="all" dataOnly="0" outline="0" fieldPosition="0"/>
    </format>
    <format dxfId="757">
      <pivotArea outline="0" collapsedLevelsAreSubtotals="1" fieldPosition="0"/>
    </format>
    <format dxfId="756">
      <pivotArea field="2" type="button" dataOnly="0" labelOnly="1" outline="0" axis="axisRow" fieldPosition="0"/>
    </format>
    <format dxfId="755">
      <pivotArea dataOnly="0" labelOnly="1" fieldPosition="0">
        <references count="1">
          <reference field="2" count="0"/>
        </references>
      </pivotArea>
    </format>
    <format dxfId="754">
      <pivotArea dataOnly="0" labelOnly="1" grandRow="1" outline="0" fieldPosition="0"/>
    </format>
    <format dxfId="753">
      <pivotArea dataOnly="0" labelOnly="1" outline="0" axis="axisValues" fieldPosition="0"/>
    </format>
    <format dxfId="752">
      <pivotArea type="all" dataOnly="0" outline="0" fieldPosition="0"/>
    </format>
    <format dxfId="751">
      <pivotArea outline="0" collapsedLevelsAreSubtotals="1" fieldPosition="0"/>
    </format>
    <format dxfId="750">
      <pivotArea field="2" type="button" dataOnly="0" labelOnly="1" outline="0" axis="axisRow" fieldPosition="0"/>
    </format>
    <format dxfId="749">
      <pivotArea dataOnly="0" labelOnly="1" fieldPosition="0">
        <references count="1">
          <reference field="2" count="0"/>
        </references>
      </pivotArea>
    </format>
    <format dxfId="748">
      <pivotArea dataOnly="0" labelOnly="1" grandRow="1" outline="0" fieldPosition="0"/>
    </format>
    <format dxfId="747">
      <pivotArea dataOnly="0" labelOnly="1" outline="0" axis="axisValues" fieldPosition="0"/>
    </format>
    <format dxfId="746">
      <pivotArea type="all" dataOnly="0" outline="0" fieldPosition="0"/>
    </format>
    <format dxfId="745">
      <pivotArea outline="0" collapsedLevelsAreSubtotals="1" fieldPosition="0"/>
    </format>
    <format dxfId="744">
      <pivotArea field="2" type="button" dataOnly="0" labelOnly="1" outline="0" axis="axisRow" fieldPosition="0"/>
    </format>
    <format dxfId="743">
      <pivotArea dataOnly="0" labelOnly="1" fieldPosition="0">
        <references count="1">
          <reference field="2" count="0"/>
        </references>
      </pivotArea>
    </format>
    <format dxfId="742">
      <pivotArea dataOnly="0" labelOnly="1" grandRow="1" outline="0" fieldPosition="0"/>
    </format>
    <format dxfId="741">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97388E-8888-4174-AAF3-07E485E0A5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2:Q5" firstHeaderRow="0" firstDataRow="1" firstDataCol="1"/>
  <pivotFields count="6">
    <pivotField showAll="0"/>
    <pivotField axis="axisRow" showAll="0">
      <items count="3">
        <item x="0"/>
        <item x="1"/>
        <item t="default"/>
      </items>
    </pivotField>
    <pivotField showAll="0">
      <items count="6">
        <item x="0"/>
        <item x="1"/>
        <item x="2"/>
        <item x="3"/>
        <item x="4"/>
        <item t="default"/>
      </items>
    </pivotField>
    <pivotField dataField="1" showAll="0"/>
    <pivotField dataField="1" showAll="0"/>
    <pivotField showAll="0"/>
  </pivotFields>
  <rowFields count="1">
    <field x="1"/>
  </rowFields>
  <rowItems count="3">
    <i>
      <x/>
    </i>
    <i>
      <x v="1"/>
    </i>
    <i t="grand">
      <x/>
    </i>
  </rowItems>
  <colFields count="1">
    <field x="-2"/>
  </colFields>
  <colItems count="2">
    <i>
      <x/>
    </i>
    <i i="1">
      <x v="1"/>
    </i>
  </colItems>
  <dataFields count="2">
    <dataField name="Sum of Male Population" fld="3" baseField="0" baseItem="0"/>
    <dataField name="Sum of Female Population" fld="4" baseField="0" baseItem="0"/>
  </dataFields>
  <formats count="24">
    <format dxfId="788">
      <pivotArea type="all" dataOnly="0" outline="0" fieldPosition="0"/>
    </format>
    <format dxfId="787">
      <pivotArea outline="0" collapsedLevelsAreSubtotals="1" fieldPosition="0"/>
    </format>
    <format dxfId="786">
      <pivotArea field="1" type="button" dataOnly="0" labelOnly="1" outline="0" axis="axisRow" fieldPosition="0"/>
    </format>
    <format dxfId="785">
      <pivotArea dataOnly="0" labelOnly="1" fieldPosition="0">
        <references count="1">
          <reference field="1" count="0"/>
        </references>
      </pivotArea>
    </format>
    <format dxfId="784">
      <pivotArea dataOnly="0" labelOnly="1" grandRow="1" outline="0" fieldPosition="0"/>
    </format>
    <format dxfId="783">
      <pivotArea dataOnly="0" labelOnly="1" outline="0" fieldPosition="0">
        <references count="1">
          <reference field="4294967294" count="2">
            <x v="0"/>
            <x v="1"/>
          </reference>
        </references>
      </pivotArea>
    </format>
    <format dxfId="782">
      <pivotArea type="all" dataOnly="0" outline="0" fieldPosition="0"/>
    </format>
    <format dxfId="781">
      <pivotArea outline="0" collapsedLevelsAreSubtotals="1" fieldPosition="0"/>
    </format>
    <format dxfId="780">
      <pivotArea field="1" type="button" dataOnly="0" labelOnly="1" outline="0" axis="axisRow" fieldPosition="0"/>
    </format>
    <format dxfId="779">
      <pivotArea dataOnly="0" labelOnly="1" fieldPosition="0">
        <references count="1">
          <reference field="1" count="0"/>
        </references>
      </pivotArea>
    </format>
    <format dxfId="778">
      <pivotArea dataOnly="0" labelOnly="1" grandRow="1" outline="0" fieldPosition="0"/>
    </format>
    <format dxfId="777">
      <pivotArea dataOnly="0" labelOnly="1" outline="0" fieldPosition="0">
        <references count="1">
          <reference field="4294967294" count="2">
            <x v="0"/>
            <x v="1"/>
          </reference>
        </references>
      </pivotArea>
    </format>
    <format dxfId="776">
      <pivotArea type="all" dataOnly="0" outline="0" fieldPosition="0"/>
    </format>
    <format dxfId="775">
      <pivotArea outline="0" collapsedLevelsAreSubtotals="1" fieldPosition="0"/>
    </format>
    <format dxfId="774">
      <pivotArea field="1" type="button" dataOnly="0" labelOnly="1" outline="0" axis="axisRow" fieldPosition="0"/>
    </format>
    <format dxfId="773">
      <pivotArea dataOnly="0" labelOnly="1" fieldPosition="0">
        <references count="1">
          <reference field="1" count="0"/>
        </references>
      </pivotArea>
    </format>
    <format dxfId="772">
      <pivotArea dataOnly="0" labelOnly="1" grandRow="1" outline="0" fieldPosition="0"/>
    </format>
    <format dxfId="771">
      <pivotArea dataOnly="0" labelOnly="1" outline="0" fieldPosition="0">
        <references count="1">
          <reference field="4294967294" count="2">
            <x v="0"/>
            <x v="1"/>
          </reference>
        </references>
      </pivotArea>
    </format>
    <format dxfId="770">
      <pivotArea type="all" dataOnly="0" outline="0" fieldPosition="0"/>
    </format>
    <format dxfId="769">
      <pivotArea outline="0" collapsedLevelsAreSubtotals="1" fieldPosition="0"/>
    </format>
    <format dxfId="768">
      <pivotArea field="1" type="button" dataOnly="0" labelOnly="1" outline="0" axis="axisRow" fieldPosition="0"/>
    </format>
    <format dxfId="767">
      <pivotArea dataOnly="0" labelOnly="1" fieldPosition="0">
        <references count="1">
          <reference field="1" count="0"/>
        </references>
      </pivotArea>
    </format>
    <format dxfId="766">
      <pivotArea dataOnly="0" labelOnly="1" grandRow="1" outline="0" fieldPosition="0"/>
    </format>
    <format dxfId="765">
      <pivotArea dataOnly="0" labelOnly="1" outline="0" fieldPosition="0">
        <references count="1">
          <reference field="4294967294" count="2">
            <x v="0"/>
            <x v="1"/>
          </reference>
        </references>
      </pivotArea>
    </format>
  </formats>
  <chartFormats count="4">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1ACEA-96F4-4856-825F-73CF51CA56BD}"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V2:W4" firstHeaderRow="1" firstDataRow="1" firstDataCol="1"/>
  <pivotFields count="9">
    <pivotField showAll="0"/>
    <pivotField axis="axisRow" showAll="0">
      <items count="3">
        <item x="0"/>
        <item x="1"/>
        <item t="default"/>
      </items>
    </pivotField>
    <pivotField showAll="0"/>
    <pivotField showAll="0"/>
    <pivotField showAll="0"/>
    <pivotField dataField="1" showAll="0"/>
    <pivotField showAll="0"/>
    <pivotField showAll="0"/>
    <pivotField showAll="0"/>
  </pivotFields>
  <rowFields count="1">
    <field x="1"/>
  </rowFields>
  <rowItems count="2">
    <i>
      <x/>
    </i>
    <i>
      <x v="1"/>
    </i>
  </rowItems>
  <colItems count="1">
    <i/>
  </colItems>
  <dataFields count="1">
    <dataField name="Sum of Total ever married_x000a_women" fld="5" baseField="0" baseItem="0"/>
  </dataFields>
  <formats count="20">
    <format dxfId="615">
      <pivotArea type="all" dataOnly="0" outline="0" fieldPosition="0"/>
    </format>
    <format dxfId="614">
      <pivotArea outline="0" collapsedLevelsAreSubtotals="1" fieldPosition="0"/>
    </format>
    <format dxfId="613">
      <pivotArea field="1" type="button" dataOnly="0" labelOnly="1" outline="0" axis="axisRow" fieldPosition="0"/>
    </format>
    <format dxfId="612">
      <pivotArea dataOnly="0" labelOnly="1" fieldPosition="0">
        <references count="1">
          <reference field="1" count="0"/>
        </references>
      </pivotArea>
    </format>
    <format dxfId="611">
      <pivotArea dataOnly="0" labelOnly="1" outline="0" axis="axisValues" fieldPosition="0"/>
    </format>
    <format dxfId="610">
      <pivotArea type="all" dataOnly="0" outline="0" fieldPosition="0"/>
    </format>
    <format dxfId="609">
      <pivotArea outline="0" collapsedLevelsAreSubtotals="1" fieldPosition="0"/>
    </format>
    <format dxfId="608">
      <pivotArea field="1" type="button" dataOnly="0" labelOnly="1" outline="0" axis="axisRow" fieldPosition="0"/>
    </format>
    <format dxfId="607">
      <pivotArea dataOnly="0" labelOnly="1" fieldPosition="0">
        <references count="1">
          <reference field="1" count="0"/>
        </references>
      </pivotArea>
    </format>
    <format dxfId="606">
      <pivotArea dataOnly="0" labelOnly="1" outline="0" axis="axisValues" fieldPosition="0"/>
    </format>
    <format dxfId="605">
      <pivotArea type="all" dataOnly="0" outline="0" fieldPosition="0"/>
    </format>
    <format dxfId="604">
      <pivotArea outline="0" collapsedLevelsAreSubtotals="1" fieldPosition="0"/>
    </format>
    <format dxfId="603">
      <pivotArea field="1" type="button" dataOnly="0" labelOnly="1" outline="0" axis="axisRow" fieldPosition="0"/>
    </format>
    <format dxfId="602">
      <pivotArea dataOnly="0" labelOnly="1" fieldPosition="0">
        <references count="1">
          <reference field="1" count="0"/>
        </references>
      </pivotArea>
    </format>
    <format dxfId="601">
      <pivotArea dataOnly="0" labelOnly="1" outline="0" axis="axisValues" fieldPosition="0"/>
    </format>
    <format dxfId="600">
      <pivotArea type="all" dataOnly="0" outline="0" fieldPosition="0"/>
    </format>
    <format dxfId="599">
      <pivotArea outline="0" collapsedLevelsAreSubtotals="1" fieldPosition="0"/>
    </format>
    <format dxfId="598">
      <pivotArea field="1" type="button" dataOnly="0" labelOnly="1" outline="0" axis="axisRow" fieldPosition="0"/>
    </format>
    <format dxfId="597">
      <pivotArea dataOnly="0" labelOnly="1" fieldPosition="0">
        <references count="1">
          <reference field="1" count="0"/>
        </references>
      </pivotArea>
    </format>
    <format dxfId="596">
      <pivotArea dataOnly="0" labelOnly="1" outline="0" axis="axisValues" fieldPosition="0"/>
    </format>
  </formats>
  <chartFormats count="6">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 count="1" selected="0">
            <x v="0"/>
          </reference>
        </references>
      </pivotArea>
    </chartFormat>
    <chartFormat chart="20" format="14">
      <pivotArea type="data" outline="0" fieldPosition="0">
        <references count="2">
          <reference field="4294967294" count="1" selected="0">
            <x v="0"/>
          </reference>
          <reference field="1"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F0707-60C1-4102-9D13-D5A3C7F80419}"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Y2:Z4" firstHeaderRow="1" firstDataRow="1" firstDataCol="1"/>
  <pivotFields count="10">
    <pivotField showAll="0"/>
    <pivotField axis="axisRow" showAll="0">
      <items count="3">
        <item x="0"/>
        <item x="1"/>
        <item t="default"/>
      </items>
    </pivotField>
    <pivotField showAll="0"/>
    <pivotField showAll="0"/>
    <pivotField showAll="0"/>
    <pivotField showAll="0"/>
    <pivotField numFmtId="10" showAll="0"/>
    <pivotField showAll="0"/>
    <pivotField showAll="0"/>
    <pivotField dataField="1" showAll="0"/>
  </pivotFields>
  <rowFields count="1">
    <field x="1"/>
  </rowFields>
  <rowItems count="2">
    <i>
      <x/>
    </i>
    <i>
      <x v="1"/>
    </i>
  </rowItems>
  <colItems count="1">
    <i/>
  </colItems>
  <dataFields count="1">
    <dataField name="Sum of Total Surviving Children" fld="9" baseField="0" baseItem="0"/>
  </dataFields>
  <formats count="20">
    <format dxfId="635">
      <pivotArea type="all" dataOnly="0" outline="0" fieldPosition="0"/>
    </format>
    <format dxfId="634">
      <pivotArea outline="0" collapsedLevelsAreSubtotals="1" fieldPosition="0"/>
    </format>
    <format dxfId="633">
      <pivotArea field="1" type="button" dataOnly="0" labelOnly="1" outline="0" axis="axisRow" fieldPosition="0"/>
    </format>
    <format dxfId="632">
      <pivotArea dataOnly="0" labelOnly="1" fieldPosition="0">
        <references count="1">
          <reference field="1" count="0"/>
        </references>
      </pivotArea>
    </format>
    <format dxfId="631">
      <pivotArea dataOnly="0" labelOnly="1" outline="0" axis="axisValues" fieldPosition="0"/>
    </format>
    <format dxfId="630">
      <pivotArea type="all" dataOnly="0" outline="0" fieldPosition="0"/>
    </format>
    <format dxfId="629">
      <pivotArea outline="0" collapsedLevelsAreSubtotals="1" fieldPosition="0"/>
    </format>
    <format dxfId="628">
      <pivotArea field="1" type="button" dataOnly="0" labelOnly="1" outline="0" axis="axisRow" fieldPosition="0"/>
    </format>
    <format dxfId="627">
      <pivotArea dataOnly="0" labelOnly="1" fieldPosition="0">
        <references count="1">
          <reference field="1" count="0"/>
        </references>
      </pivotArea>
    </format>
    <format dxfId="626">
      <pivotArea dataOnly="0" labelOnly="1" outline="0" axis="axisValues" fieldPosition="0"/>
    </format>
    <format dxfId="625">
      <pivotArea type="all" dataOnly="0" outline="0" fieldPosition="0"/>
    </format>
    <format dxfId="624">
      <pivotArea outline="0" collapsedLevelsAreSubtotals="1" fieldPosition="0"/>
    </format>
    <format dxfId="623">
      <pivotArea field="1" type="button" dataOnly="0" labelOnly="1" outline="0" axis="axisRow" fieldPosition="0"/>
    </format>
    <format dxfId="622">
      <pivotArea dataOnly="0" labelOnly="1" fieldPosition="0">
        <references count="1">
          <reference field="1" count="0"/>
        </references>
      </pivotArea>
    </format>
    <format dxfId="621">
      <pivotArea dataOnly="0" labelOnly="1" outline="0" axis="axisValues" fieldPosition="0"/>
    </format>
    <format dxfId="620">
      <pivotArea type="all" dataOnly="0" outline="0" fieldPosition="0"/>
    </format>
    <format dxfId="619">
      <pivotArea outline="0" collapsedLevelsAreSubtotals="1" fieldPosition="0"/>
    </format>
    <format dxfId="618">
      <pivotArea field="1" type="button" dataOnly="0" labelOnly="1" outline="0" axis="axisRow" fieldPosition="0"/>
    </format>
    <format dxfId="617">
      <pivotArea dataOnly="0" labelOnly="1" fieldPosition="0">
        <references count="1">
          <reference field="1" count="0"/>
        </references>
      </pivotArea>
    </format>
    <format dxfId="616">
      <pivotArea dataOnly="0" labelOnly="1" outline="0" axis="axisValues" fieldPosition="0"/>
    </format>
  </formats>
  <chartFormats count="6">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1" count="1" selected="0">
            <x v="0"/>
          </reference>
        </references>
      </pivotArea>
    </chartFormat>
    <chartFormat chart="19" format="20">
      <pivotArea type="data" outline="0" fieldPosition="0">
        <references count="2">
          <reference field="4294967294" count="1" selected="0">
            <x v="0"/>
          </reference>
          <reference field="1" count="1" selected="0">
            <x v="1"/>
          </reference>
        </references>
      </pivotArea>
    </chartFormat>
    <chartFormat chart="27" format="24" series="1">
      <pivotArea type="data" outline="0" fieldPosition="0">
        <references count="1">
          <reference field="4294967294" count="1" selected="0">
            <x v="0"/>
          </reference>
        </references>
      </pivotArea>
    </chartFormat>
    <chartFormat chart="27" format="25">
      <pivotArea type="data" outline="0" fieldPosition="0">
        <references count="2">
          <reference field="4294967294" count="1" selected="0">
            <x v="0"/>
          </reference>
          <reference field="1" count="1" selected="0">
            <x v="0"/>
          </reference>
        </references>
      </pivotArea>
    </chartFormat>
    <chartFormat chart="27" format="26">
      <pivotArea type="data" outline="0" fieldPosition="0">
        <references count="2">
          <reference field="4294967294" count="1" selected="0">
            <x v="0"/>
          </reference>
          <reference field="1"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0506E0-A14F-4B92-8308-0064E579EB2F}"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P2:T9" firstHeaderRow="1" firstDataRow="3" firstDataCol="1"/>
  <pivotFields count="9">
    <pivotField showAll="0" defaultSubtotal="0"/>
    <pivotField axis="axisCol" showAll="0" defaultSubtotal="0">
      <items count="2">
        <item x="0"/>
        <item x="1"/>
      </items>
    </pivotField>
    <pivotField showAll="0" defaultSubtotal="0"/>
    <pivotField axis="axisRow" showAll="0" defaultSubtotal="0">
      <items count="5">
        <item x="0"/>
        <item x="1"/>
        <item x="2"/>
        <item x="3"/>
        <item x="4"/>
      </items>
    </pivotField>
    <pivotField dataField="1" showAll="0" defaultSubtotal="0"/>
    <pivotField dataField="1" showAll="0" defaultSubtotal="0"/>
    <pivotField showAll="0" defaultSubtotal="0"/>
    <pivotField showAll="0" defaultSubtotal="0"/>
    <pivotField showAll="0" defaultSubtotal="0"/>
  </pivotFields>
  <rowFields count="1">
    <field x="3"/>
  </rowFields>
  <rowItems count="5">
    <i>
      <x/>
    </i>
    <i>
      <x v="1"/>
    </i>
    <i>
      <x v="2"/>
    </i>
    <i>
      <x v="3"/>
    </i>
    <i>
      <x v="4"/>
    </i>
  </rowItems>
  <colFields count="2">
    <field x="1"/>
    <field x="-2"/>
  </colFields>
  <colItems count="4">
    <i>
      <x/>
      <x/>
    </i>
    <i r="1" i="1">
      <x v="1"/>
    </i>
    <i>
      <x v="1"/>
      <x/>
    </i>
    <i r="1" i="1">
      <x v="1"/>
    </i>
  </colItems>
  <dataFields count="2">
    <dataField name="Sum of Total Women" fld="4" baseField="0" baseItem="0"/>
    <dataField name="Sum of Total ever married_x000a_women" fld="5" baseField="0" baseItem="0"/>
  </dataFields>
  <formats count="34">
    <format dxfId="669">
      <pivotArea type="all" dataOnly="0" outline="0" fieldPosition="0"/>
    </format>
    <format dxfId="668">
      <pivotArea type="all" dataOnly="0" outline="0" fieldPosition="0"/>
    </format>
    <format dxfId="667">
      <pivotArea outline="0" collapsedLevelsAreSubtotals="1" fieldPosition="0"/>
    </format>
    <format dxfId="666">
      <pivotArea type="origin" dataOnly="0" labelOnly="1" outline="0" fieldPosition="0"/>
    </format>
    <format dxfId="665">
      <pivotArea field="1" type="button" dataOnly="0" labelOnly="1" outline="0" axis="axisCol" fieldPosition="0"/>
    </format>
    <format dxfId="664">
      <pivotArea field="-2" type="button" dataOnly="0" labelOnly="1" outline="0" axis="axisCol" fieldPosition="1"/>
    </format>
    <format dxfId="663">
      <pivotArea type="topRight" dataOnly="0" labelOnly="1" outline="0" fieldPosition="0"/>
    </format>
    <format dxfId="662">
      <pivotArea field="3" type="button" dataOnly="0" labelOnly="1" outline="0" axis="axisRow" fieldPosition="0"/>
    </format>
    <format dxfId="661">
      <pivotArea dataOnly="0" labelOnly="1" fieldPosition="0">
        <references count="1">
          <reference field="3" count="0"/>
        </references>
      </pivotArea>
    </format>
    <format dxfId="660">
      <pivotArea dataOnly="0" labelOnly="1" fieldPosition="0">
        <references count="1">
          <reference field="1" count="0"/>
        </references>
      </pivotArea>
    </format>
    <format dxfId="659">
      <pivotArea dataOnly="0" labelOnly="1" outline="0" fieldPosition="0">
        <references count="2">
          <reference field="4294967294" count="2">
            <x v="0"/>
            <x v="1"/>
          </reference>
          <reference field="1" count="1" selected="0">
            <x v="0"/>
          </reference>
        </references>
      </pivotArea>
    </format>
    <format dxfId="658">
      <pivotArea dataOnly="0" labelOnly="1" outline="0" fieldPosition="0">
        <references count="2">
          <reference field="4294967294" count="2">
            <x v="0"/>
            <x v="1"/>
          </reference>
          <reference field="1" count="1" selected="0">
            <x v="1"/>
          </reference>
        </references>
      </pivotArea>
    </format>
    <format dxfId="657">
      <pivotArea type="all" dataOnly="0" outline="0" fieldPosition="0"/>
    </format>
    <format dxfId="656">
      <pivotArea outline="0" collapsedLevelsAreSubtotals="1" fieldPosition="0"/>
    </format>
    <format dxfId="655">
      <pivotArea type="origin" dataOnly="0" labelOnly="1" outline="0" fieldPosition="0"/>
    </format>
    <format dxfId="654">
      <pivotArea field="1" type="button" dataOnly="0" labelOnly="1" outline="0" axis="axisCol" fieldPosition="0"/>
    </format>
    <format dxfId="653">
      <pivotArea field="-2" type="button" dataOnly="0" labelOnly="1" outline="0" axis="axisCol" fieldPosition="1"/>
    </format>
    <format dxfId="652">
      <pivotArea type="topRight" dataOnly="0" labelOnly="1" outline="0" fieldPosition="0"/>
    </format>
    <format dxfId="651">
      <pivotArea field="3" type="button" dataOnly="0" labelOnly="1" outline="0" axis="axisRow" fieldPosition="0"/>
    </format>
    <format dxfId="650">
      <pivotArea dataOnly="0" labelOnly="1" fieldPosition="0">
        <references count="1">
          <reference field="3" count="0"/>
        </references>
      </pivotArea>
    </format>
    <format dxfId="649">
      <pivotArea dataOnly="0" labelOnly="1" fieldPosition="0">
        <references count="1">
          <reference field="1" count="0"/>
        </references>
      </pivotArea>
    </format>
    <format dxfId="648">
      <pivotArea dataOnly="0" labelOnly="1" outline="0" fieldPosition="0">
        <references count="2">
          <reference field="4294967294" count="2">
            <x v="0"/>
            <x v="1"/>
          </reference>
          <reference field="1" count="1" selected="0">
            <x v="0"/>
          </reference>
        </references>
      </pivotArea>
    </format>
    <format dxfId="647">
      <pivotArea dataOnly="0" labelOnly="1" outline="0" fieldPosition="0">
        <references count="2">
          <reference field="4294967294" count="2">
            <x v="0"/>
            <x v="1"/>
          </reference>
          <reference field="1" count="1" selected="0">
            <x v="1"/>
          </reference>
        </references>
      </pivotArea>
    </format>
    <format dxfId="646">
      <pivotArea type="all" dataOnly="0" outline="0" fieldPosition="0"/>
    </format>
    <format dxfId="645">
      <pivotArea outline="0" collapsedLevelsAreSubtotals="1" fieldPosition="0"/>
    </format>
    <format dxfId="644">
      <pivotArea type="origin" dataOnly="0" labelOnly="1" outline="0" fieldPosition="0"/>
    </format>
    <format dxfId="643">
      <pivotArea field="1" type="button" dataOnly="0" labelOnly="1" outline="0" axis="axisCol" fieldPosition="0"/>
    </format>
    <format dxfId="642">
      <pivotArea field="-2" type="button" dataOnly="0" labelOnly="1" outline="0" axis="axisCol" fieldPosition="1"/>
    </format>
    <format dxfId="641">
      <pivotArea type="topRight" dataOnly="0" labelOnly="1" outline="0" fieldPosition="0"/>
    </format>
    <format dxfId="640">
      <pivotArea field="3" type="button" dataOnly="0" labelOnly="1" outline="0" axis="axisRow" fieldPosition="0"/>
    </format>
    <format dxfId="639">
      <pivotArea dataOnly="0" labelOnly="1" fieldPosition="0">
        <references count="1">
          <reference field="3" count="0"/>
        </references>
      </pivotArea>
    </format>
    <format dxfId="638">
      <pivotArea dataOnly="0" labelOnly="1" fieldPosition="0">
        <references count="1">
          <reference field="1" count="0"/>
        </references>
      </pivotArea>
    </format>
    <format dxfId="637">
      <pivotArea dataOnly="0" labelOnly="1" outline="0" fieldPosition="0">
        <references count="2">
          <reference field="4294967294" count="2">
            <x v="0"/>
            <x v="1"/>
          </reference>
          <reference field="1" count="1" selected="0">
            <x v="0"/>
          </reference>
        </references>
      </pivotArea>
    </format>
    <format dxfId="636">
      <pivotArea dataOnly="0" labelOnly="1" outline="0" fieldPosition="0">
        <references count="2">
          <reference field="4294967294" count="2">
            <x v="0"/>
            <x v="1"/>
          </reference>
          <reference field="1" count="1" selected="0">
            <x v="1"/>
          </reference>
        </references>
      </pivotArea>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20" format="8" series="1">
      <pivotArea type="data" outline="0" fieldPosition="0">
        <references count="2">
          <reference field="4294967294" count="1" selected="0">
            <x v="0"/>
          </reference>
          <reference field="1" count="1" selected="0">
            <x v="0"/>
          </reference>
        </references>
      </pivotArea>
    </chartFormat>
    <chartFormat chart="20" format="9" series="1">
      <pivotArea type="data" outline="0" fieldPosition="0">
        <references count="2">
          <reference field="4294967294" count="1" selected="0">
            <x v="0"/>
          </reference>
          <reference field="1" count="1" selected="0">
            <x v="1"/>
          </reference>
        </references>
      </pivotArea>
    </chartFormat>
    <chartFormat chart="20" format="10" series="1">
      <pivotArea type="data" outline="0" fieldPosition="0">
        <references count="2">
          <reference field="4294967294" count="1" selected="0">
            <x v="1"/>
          </reference>
          <reference field="1" count="1" selected="0">
            <x v="0"/>
          </reference>
        </references>
      </pivotArea>
    </chartFormat>
    <chartFormat chart="20" format="11" series="1">
      <pivotArea type="data" outline="0" fieldPosition="0">
        <references count="2">
          <reference field="4294967294" count="1" selected="0">
            <x v="1"/>
          </reference>
          <reference field="1"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52475-CF01-4247-B5D3-96C15825190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L3:N9" firstHeaderRow="1" firstDataRow="2" firstDataCol="1" rowPageCount="1" colPageCount="1"/>
  <pivotFields count="9">
    <pivotField showAll="0"/>
    <pivotField axis="axisPage" showAll="0">
      <items count="3">
        <item x="0"/>
        <item x="1"/>
        <item t="default"/>
      </items>
    </pivotField>
    <pivotField axis="axisCol" showAll="0">
      <items count="3">
        <item x="0"/>
        <item x="1"/>
        <item t="default"/>
      </items>
    </pivotField>
    <pivotField axis="axisRow" showAll="0">
      <items count="6">
        <item x="0"/>
        <item x="1"/>
        <item x="2"/>
        <item x="3"/>
        <item x="4"/>
        <item t="default"/>
      </items>
    </pivotField>
    <pivotField dataField="1" showAll="0"/>
    <pivotField showAll="0"/>
    <pivotField showAll="0"/>
    <pivotField showAll="0"/>
    <pivotField showAll="0"/>
  </pivotFields>
  <rowFields count="1">
    <field x="3"/>
  </rowFields>
  <rowItems count="5">
    <i>
      <x/>
    </i>
    <i>
      <x v="1"/>
    </i>
    <i>
      <x v="2"/>
    </i>
    <i>
      <x v="3"/>
    </i>
    <i>
      <x v="4"/>
    </i>
  </rowItems>
  <colFields count="1">
    <field x="2"/>
  </colFields>
  <colItems count="2">
    <i>
      <x/>
    </i>
    <i>
      <x v="1"/>
    </i>
  </colItems>
  <pageFields count="1">
    <pageField fld="1" hier="-1"/>
  </pageFields>
  <dataFields count="1">
    <dataField name="Sum of Total Women" fld="4" baseField="0" baseItem="0"/>
  </dataFields>
  <formats count="17">
    <format dxfId="686">
      <pivotArea type="all" dataOnly="0" outline="0" fieldPosition="0"/>
    </format>
    <format dxfId="685">
      <pivotArea type="all" dataOnly="0" outline="0" fieldPosition="0"/>
    </format>
    <format dxfId="684">
      <pivotArea outline="0" collapsedLevelsAreSubtotals="1" fieldPosition="0"/>
    </format>
    <format dxfId="683">
      <pivotArea type="origin" dataOnly="0" labelOnly="1" outline="0" fieldPosition="0"/>
    </format>
    <format dxfId="682">
      <pivotArea field="2" type="button" dataOnly="0" labelOnly="1" outline="0" axis="axisCol" fieldPosition="0"/>
    </format>
    <format dxfId="681">
      <pivotArea type="topRight" dataOnly="0" labelOnly="1" outline="0" fieldPosition="0"/>
    </format>
    <format dxfId="680">
      <pivotArea field="3" type="button" dataOnly="0" labelOnly="1" outline="0" axis="axisRow" fieldPosition="0"/>
    </format>
    <format dxfId="679">
      <pivotArea dataOnly="0" labelOnly="1" fieldPosition="0">
        <references count="1">
          <reference field="3" count="0"/>
        </references>
      </pivotArea>
    </format>
    <format dxfId="678">
      <pivotArea dataOnly="0" labelOnly="1" fieldPosition="0">
        <references count="1">
          <reference field="2" count="0"/>
        </references>
      </pivotArea>
    </format>
    <format dxfId="677">
      <pivotArea type="all" dataOnly="0" outline="0" fieldPosition="0"/>
    </format>
    <format dxfId="676">
      <pivotArea outline="0" collapsedLevelsAreSubtotals="1" fieldPosition="0"/>
    </format>
    <format dxfId="675">
      <pivotArea type="origin" dataOnly="0" labelOnly="1" outline="0" fieldPosition="0"/>
    </format>
    <format dxfId="674">
      <pivotArea field="2" type="button" dataOnly="0" labelOnly="1" outline="0" axis="axisCol" fieldPosition="0"/>
    </format>
    <format dxfId="673">
      <pivotArea type="topRight" dataOnly="0" labelOnly="1" outline="0" fieldPosition="0"/>
    </format>
    <format dxfId="672">
      <pivotArea field="3" type="button" dataOnly="0" labelOnly="1" outline="0" axis="axisRow" fieldPosition="0"/>
    </format>
    <format dxfId="671">
      <pivotArea dataOnly="0" labelOnly="1" fieldPosition="0">
        <references count="1">
          <reference field="3" count="0"/>
        </references>
      </pivotArea>
    </format>
    <format dxfId="670">
      <pivotArea dataOnly="0" labelOnly="1" fieldPosition="0">
        <references count="1">
          <reference field="2" count="0"/>
        </references>
      </pivotArea>
    </format>
  </formats>
  <chartFormats count="6">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 chart="22" format="8" series="1">
      <pivotArea type="data" outline="0" fieldPosition="0">
        <references count="2">
          <reference field="4294967294" count="1" selected="0">
            <x v="0"/>
          </reference>
          <reference field="2" count="1" selected="0">
            <x v="0"/>
          </reference>
        </references>
      </pivotArea>
    </chartFormat>
    <chartFormat chart="22" format="9" series="1">
      <pivotArea type="data" outline="0" fieldPosition="0">
        <references count="2">
          <reference field="4294967294" count="1" selected="0">
            <x v="0"/>
          </reference>
          <reference field="2"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A6D264-DA39-46BA-B29C-14AB4220C802}"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I2:K5" firstHeaderRow="1" firstDataRow="2" firstDataCol="1"/>
  <pivotFields count="7">
    <pivotField showAll="0"/>
    <pivotField axis="axisRow" showAll="0">
      <items count="3">
        <item x="0"/>
        <item x="1"/>
        <item t="default"/>
      </items>
    </pivotField>
    <pivotField showAll="0"/>
    <pivotField axis="axisCol" showAll="0">
      <items count="3">
        <item x="1"/>
        <item x="0"/>
        <item t="default"/>
      </items>
    </pivotField>
    <pivotField showAll="0"/>
    <pivotField showAll="0"/>
    <pivotField dataField="1" numFmtId="9" showAll="0"/>
  </pivotFields>
  <rowFields count="1">
    <field x="1"/>
  </rowFields>
  <rowItems count="2">
    <i>
      <x/>
    </i>
    <i>
      <x v="1"/>
    </i>
  </rowItems>
  <colFields count="1">
    <field x="3"/>
  </colFields>
  <colItems count="2">
    <i>
      <x/>
    </i>
    <i>
      <x v="1"/>
    </i>
  </colItems>
  <dataFields count="1">
    <dataField name="Sum of Attendance Rate" fld="6" baseField="0" baseItem="0" numFmtId="9"/>
  </dataFields>
  <formats count="4">
    <format dxfId="508">
      <pivotArea type="all" dataOnly="0" outline="0" fieldPosition="0"/>
    </format>
    <format dxfId="507">
      <pivotArea type="all" dataOnly="0" outline="0" fieldPosition="0"/>
    </format>
    <format dxfId="506">
      <pivotArea type="all" dataOnly="0" outline="0" fieldPosition="0"/>
    </format>
    <format dxfId="505">
      <pivotArea type="all" dataOnly="0" outline="0" fieldPosition="0"/>
    </format>
  </formats>
  <chartFormats count="4">
    <chartFormat chart="11" format="5" series="1">
      <pivotArea type="data" outline="0" fieldPosition="0">
        <references count="2">
          <reference field="4294967294" count="1" selected="0">
            <x v="0"/>
          </reference>
          <reference field="3" count="1" selected="0">
            <x v="0"/>
          </reference>
        </references>
      </pivotArea>
    </chartFormat>
    <chartFormat chart="11" format="6" series="1">
      <pivotArea type="data" outline="0" fieldPosition="0">
        <references count="2">
          <reference field="4294967294" count="1" selected="0">
            <x v="0"/>
          </reference>
          <reference field="3" count="1" selected="0">
            <x v="1"/>
          </reference>
        </references>
      </pivotArea>
    </chartFormat>
    <chartFormat chart="18" format="9" series="1">
      <pivotArea type="data" outline="0" fieldPosition="0">
        <references count="2">
          <reference field="4294967294" count="1" selected="0">
            <x v="0"/>
          </reference>
          <reference field="3" count="1" selected="0">
            <x v="0"/>
          </reference>
        </references>
      </pivotArea>
    </chartFormat>
    <chartFormat chart="18" format="10" series="1">
      <pivotArea type="data" outline="0" fieldPosition="0">
        <references count="2">
          <reference field="4294967294" count="1" selected="0">
            <x v="0"/>
          </reference>
          <reference field="3"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8E73B2-EB89-48CC-8FDE-47BA5939997F}"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S2:T6" firstHeaderRow="1" firstDataRow="1" firstDataCol="1"/>
  <pivotFields count="7">
    <pivotField showAll="0"/>
    <pivotField showAll="0"/>
    <pivotField axis="axisRow" showAll="0">
      <items count="4">
        <item x="0"/>
        <item x="1"/>
        <item x="2"/>
        <item t="default"/>
      </items>
    </pivotField>
    <pivotField showAll="0"/>
    <pivotField showAll="0"/>
    <pivotField showAll="0"/>
    <pivotField dataField="1" numFmtId="9" showAll="0"/>
  </pivotFields>
  <rowFields count="1">
    <field x="2"/>
  </rowFields>
  <rowItems count="4">
    <i>
      <x/>
    </i>
    <i>
      <x v="1"/>
    </i>
    <i>
      <x v="2"/>
    </i>
    <i t="grand">
      <x/>
    </i>
  </rowItems>
  <colItems count="1">
    <i/>
  </colItems>
  <dataFields count="1">
    <dataField name="Average of Attendance Rate" fld="6" subtotal="average" baseField="2" baseItem="0" numFmtId="9"/>
  </dataFields>
  <formats count="24">
    <format dxfId="532">
      <pivotArea type="all" dataOnly="0" outline="0" fieldPosition="0"/>
    </format>
    <format dxfId="531">
      <pivotArea outline="0" collapsedLevelsAreSubtotals="1" fieldPosition="0"/>
    </format>
    <format dxfId="530">
      <pivotArea field="2" type="button" dataOnly="0" labelOnly="1" outline="0" axis="axisRow" fieldPosition="0"/>
    </format>
    <format dxfId="529">
      <pivotArea dataOnly="0" labelOnly="1" fieldPosition="0">
        <references count="1">
          <reference field="2" count="0"/>
        </references>
      </pivotArea>
    </format>
    <format dxfId="528">
      <pivotArea dataOnly="0" labelOnly="1" grandRow="1" outline="0" fieldPosition="0"/>
    </format>
    <format dxfId="527">
      <pivotArea dataOnly="0" labelOnly="1" outline="0" axis="axisValues" fieldPosition="0"/>
    </format>
    <format dxfId="526">
      <pivotArea type="all" dataOnly="0" outline="0" fieldPosition="0"/>
    </format>
    <format dxfId="525">
      <pivotArea outline="0" collapsedLevelsAreSubtotals="1" fieldPosition="0"/>
    </format>
    <format dxfId="524">
      <pivotArea field="2" type="button" dataOnly="0" labelOnly="1" outline="0" axis="axisRow" fieldPosition="0"/>
    </format>
    <format dxfId="523">
      <pivotArea dataOnly="0" labelOnly="1" fieldPosition="0">
        <references count="1">
          <reference field="2" count="0"/>
        </references>
      </pivotArea>
    </format>
    <format dxfId="522">
      <pivotArea dataOnly="0" labelOnly="1" grandRow="1" outline="0" fieldPosition="0"/>
    </format>
    <format dxfId="521">
      <pivotArea dataOnly="0" labelOnly="1" outline="0" axis="axisValues" fieldPosition="0"/>
    </format>
    <format dxfId="520">
      <pivotArea type="all" dataOnly="0" outline="0" fieldPosition="0"/>
    </format>
    <format dxfId="519">
      <pivotArea outline="0" collapsedLevelsAreSubtotals="1" fieldPosition="0"/>
    </format>
    <format dxfId="518">
      <pivotArea field="2" type="button" dataOnly="0" labelOnly="1" outline="0" axis="axisRow" fieldPosition="0"/>
    </format>
    <format dxfId="517">
      <pivotArea dataOnly="0" labelOnly="1" fieldPosition="0">
        <references count="1">
          <reference field="2" count="0"/>
        </references>
      </pivotArea>
    </format>
    <format dxfId="516">
      <pivotArea dataOnly="0" labelOnly="1" grandRow="1" outline="0" fieldPosition="0"/>
    </format>
    <format dxfId="515">
      <pivotArea dataOnly="0" labelOnly="1" outline="0" axis="axisValues" fieldPosition="0"/>
    </format>
    <format dxfId="514">
      <pivotArea type="all" dataOnly="0" outline="0" fieldPosition="0"/>
    </format>
    <format dxfId="513">
      <pivotArea outline="0" collapsedLevelsAreSubtotals="1" fieldPosition="0"/>
    </format>
    <format dxfId="512">
      <pivotArea field="2" type="button" dataOnly="0" labelOnly="1" outline="0" axis="axisRow" fieldPosition="0"/>
    </format>
    <format dxfId="511">
      <pivotArea dataOnly="0" labelOnly="1" fieldPosition="0">
        <references count="1">
          <reference field="2" count="0"/>
        </references>
      </pivotArea>
    </format>
    <format dxfId="510">
      <pivotArea dataOnly="0" labelOnly="1" grandRow="1" outline="0" fieldPosition="0"/>
    </format>
    <format dxfId="509">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137862-B104-4E36-BCBF-D5E44CFC1012}"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P2:Q5" firstHeaderRow="1" firstDataRow="1" firstDataCol="1"/>
  <pivotFields count="7">
    <pivotField showAll="0"/>
    <pivotField showAll="0"/>
    <pivotField showAll="0"/>
    <pivotField axis="axisRow" showAll="0">
      <items count="3">
        <item x="1"/>
        <item x="0"/>
        <item t="default"/>
      </items>
    </pivotField>
    <pivotField showAll="0"/>
    <pivotField showAll="0"/>
    <pivotField dataField="1" numFmtId="9" showAll="0"/>
  </pivotFields>
  <rowFields count="1">
    <field x="3"/>
  </rowFields>
  <rowItems count="3">
    <i>
      <x/>
    </i>
    <i>
      <x v="1"/>
    </i>
    <i t="grand">
      <x/>
    </i>
  </rowItems>
  <colItems count="1">
    <i/>
  </colItems>
  <dataFields count="1">
    <dataField name="Average of Attendance Rate" fld="6" subtotal="average" baseField="3" baseItem="0" numFmtId="9"/>
  </dataFields>
  <formats count="24">
    <format dxfId="556">
      <pivotArea type="all" dataOnly="0" outline="0" fieldPosition="0"/>
    </format>
    <format dxfId="555">
      <pivotArea outline="0" collapsedLevelsAreSubtotals="1" fieldPosition="0"/>
    </format>
    <format dxfId="554">
      <pivotArea field="3" type="button" dataOnly="0" labelOnly="1" outline="0" axis="axisRow" fieldPosition="0"/>
    </format>
    <format dxfId="553">
      <pivotArea dataOnly="0" labelOnly="1" fieldPosition="0">
        <references count="1">
          <reference field="3" count="0"/>
        </references>
      </pivotArea>
    </format>
    <format dxfId="552">
      <pivotArea dataOnly="0" labelOnly="1" grandRow="1" outline="0" fieldPosition="0"/>
    </format>
    <format dxfId="551">
      <pivotArea dataOnly="0" labelOnly="1" outline="0" axis="axisValues" fieldPosition="0"/>
    </format>
    <format dxfId="550">
      <pivotArea type="all" dataOnly="0" outline="0" fieldPosition="0"/>
    </format>
    <format dxfId="549">
      <pivotArea outline="0" collapsedLevelsAreSubtotals="1" fieldPosition="0"/>
    </format>
    <format dxfId="548">
      <pivotArea field="3" type="button" dataOnly="0" labelOnly="1" outline="0" axis="axisRow" fieldPosition="0"/>
    </format>
    <format dxfId="547">
      <pivotArea dataOnly="0" labelOnly="1" fieldPosition="0">
        <references count="1">
          <reference field="3" count="0"/>
        </references>
      </pivotArea>
    </format>
    <format dxfId="546">
      <pivotArea dataOnly="0" labelOnly="1" grandRow="1" outline="0"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field="3" type="button" dataOnly="0" labelOnly="1" outline="0" axis="axisRow" fieldPosition="0"/>
    </format>
    <format dxfId="541">
      <pivotArea dataOnly="0" labelOnly="1" fieldPosition="0">
        <references count="1">
          <reference field="3" count="0"/>
        </references>
      </pivotArea>
    </format>
    <format dxfId="540">
      <pivotArea dataOnly="0" labelOnly="1" grandRow="1" outline="0" fieldPosition="0"/>
    </format>
    <format dxfId="539">
      <pivotArea dataOnly="0" labelOnly="1" outline="0" axis="axisValues" fieldPosition="0"/>
    </format>
    <format dxfId="538">
      <pivotArea type="all" dataOnly="0" outline="0" fieldPosition="0"/>
    </format>
    <format dxfId="537">
      <pivotArea outline="0" collapsedLevelsAreSubtotals="1" fieldPosition="0"/>
    </format>
    <format dxfId="536">
      <pivotArea field="3" type="button" dataOnly="0" labelOnly="1" outline="0" axis="axisRow" fieldPosition="0"/>
    </format>
    <format dxfId="535">
      <pivotArea dataOnly="0" labelOnly="1" fieldPosition="0">
        <references count="1">
          <reference field="3" count="0"/>
        </references>
      </pivotArea>
    </format>
    <format dxfId="534">
      <pivotArea dataOnly="0" labelOnly="1" grandRow="1" outline="0" fieldPosition="0"/>
    </format>
    <format dxfId="533">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F81BD8-F627-4CBB-BB4B-847879800FA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2:N5" firstHeaderRow="1" firstDataRow="1" firstDataCol="1"/>
  <pivotFields count="7">
    <pivotField showAll="0"/>
    <pivotField axis="axisRow" showAll="0">
      <items count="3">
        <item x="0"/>
        <item x="1"/>
        <item t="default"/>
      </items>
    </pivotField>
    <pivotField showAll="0"/>
    <pivotField showAll="0">
      <items count="3">
        <item x="1"/>
        <item x="0"/>
        <item t="default"/>
      </items>
    </pivotField>
    <pivotField showAll="0"/>
    <pivotField showAll="0"/>
    <pivotField dataField="1" numFmtId="9" showAll="0"/>
  </pivotFields>
  <rowFields count="1">
    <field x="1"/>
  </rowFields>
  <rowItems count="3">
    <i>
      <x/>
    </i>
    <i>
      <x v="1"/>
    </i>
    <i t="grand">
      <x/>
    </i>
  </rowItems>
  <colItems count="1">
    <i/>
  </colItems>
  <dataFields count="1">
    <dataField name="Average of Attendance Rate" fld="6" subtotal="average" baseField="1" baseItem="0" numFmtId="9"/>
  </dataFields>
  <formats count="24">
    <format dxfId="580">
      <pivotArea type="all" dataOnly="0" outline="0" fieldPosition="0"/>
    </format>
    <format dxfId="579">
      <pivotArea outline="0" collapsedLevelsAreSubtotals="1" fieldPosition="0"/>
    </format>
    <format dxfId="578">
      <pivotArea field="1" type="button" dataOnly="0" labelOnly="1" outline="0" axis="axisRow" fieldPosition="0"/>
    </format>
    <format dxfId="577">
      <pivotArea dataOnly="0" labelOnly="1" fieldPosition="0">
        <references count="1">
          <reference field="1" count="0"/>
        </references>
      </pivotArea>
    </format>
    <format dxfId="576">
      <pivotArea dataOnly="0" labelOnly="1" grandRow="1" outline="0" fieldPosition="0"/>
    </format>
    <format dxfId="575">
      <pivotArea dataOnly="0" labelOnly="1" outline="0" axis="axisValues" fieldPosition="0"/>
    </format>
    <format dxfId="574">
      <pivotArea type="all" dataOnly="0" outline="0" fieldPosition="0"/>
    </format>
    <format dxfId="573">
      <pivotArea outline="0" collapsedLevelsAreSubtotals="1" fieldPosition="0"/>
    </format>
    <format dxfId="572">
      <pivotArea field="1" type="button" dataOnly="0" labelOnly="1" outline="0" axis="axisRow" fieldPosition="0"/>
    </format>
    <format dxfId="571">
      <pivotArea dataOnly="0" labelOnly="1" fieldPosition="0">
        <references count="1">
          <reference field="1" count="0"/>
        </references>
      </pivotArea>
    </format>
    <format dxfId="570">
      <pivotArea dataOnly="0" labelOnly="1" grandRow="1" outline="0" fieldPosition="0"/>
    </format>
    <format dxfId="569">
      <pivotArea dataOnly="0" labelOnly="1" outline="0" axis="axisValues" fieldPosition="0"/>
    </format>
    <format dxfId="568">
      <pivotArea type="all" dataOnly="0" outline="0" fieldPosition="0"/>
    </format>
    <format dxfId="567">
      <pivotArea outline="0" collapsedLevelsAreSubtotals="1" fieldPosition="0"/>
    </format>
    <format dxfId="566">
      <pivotArea field="1" type="button" dataOnly="0" labelOnly="1" outline="0" axis="axisRow" fieldPosition="0"/>
    </format>
    <format dxfId="565">
      <pivotArea dataOnly="0" labelOnly="1" fieldPosition="0">
        <references count="1">
          <reference field="1" count="0"/>
        </references>
      </pivotArea>
    </format>
    <format dxfId="564">
      <pivotArea dataOnly="0" labelOnly="1" grandRow="1" outline="0" fieldPosition="0"/>
    </format>
    <format dxfId="563">
      <pivotArea dataOnly="0" labelOnly="1" outline="0" axis="axisValues" fieldPosition="0"/>
    </format>
    <format dxfId="562">
      <pivotArea type="all" dataOnly="0" outline="0" fieldPosition="0"/>
    </format>
    <format dxfId="561">
      <pivotArea outline="0" collapsedLevelsAreSubtotals="1" fieldPosition="0"/>
    </format>
    <format dxfId="560">
      <pivotArea field="1" type="button" dataOnly="0" labelOnly="1" outline="0" axis="axisRow" fieldPosition="0"/>
    </format>
    <format dxfId="559">
      <pivotArea dataOnly="0" labelOnly="1" fieldPosition="0">
        <references count="1">
          <reference field="1" count="0"/>
        </references>
      </pivotArea>
    </format>
    <format dxfId="558">
      <pivotArea dataOnly="0" labelOnly="1" grandRow="1" outline="0" fieldPosition="0"/>
    </format>
    <format dxfId="557">
      <pivotArea dataOnly="0" labelOnly="1" outline="0" axis="axisValues" fieldPosition="0"/>
    </format>
  </formats>
  <chartFormats count="6">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1" count="1" selected="0">
            <x v="0"/>
          </reference>
        </references>
      </pivotArea>
    </chartFormat>
    <chartFormat chart="19" format="14">
      <pivotArea type="data" outline="0" fieldPosition="0">
        <references count="2">
          <reference field="4294967294" count="1" selected="0">
            <x v="0"/>
          </reference>
          <reference field="1"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BF627D-D4D7-4FA8-955D-5A0B8EF3DA1D}" name="PivotTable2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T15:AA17" firstHeaderRow="0" firstDataRow="1" firstDataCol="1"/>
  <pivotFields count="27">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s>
  <rowFields count="1">
    <field x="1"/>
  </rowFields>
  <rowItems count="2">
    <i>
      <x/>
    </i>
    <i>
      <x v="1"/>
    </i>
  </rowItems>
  <colFields count="1">
    <field x="-2"/>
  </colFields>
  <colItems count="7">
    <i>
      <x/>
    </i>
    <i i="1">
      <x v="1"/>
    </i>
    <i i="2">
      <x v="2"/>
    </i>
    <i i="3">
      <x v="3"/>
    </i>
    <i i="4">
      <x v="4"/>
    </i>
    <i i="5">
      <x v="5"/>
    </i>
    <i i="6">
      <x v="6"/>
    </i>
  </colItems>
  <dataFields count="7">
    <dataField name="Sum of Jain Total Population" fld="23" baseField="0" baseItem="0"/>
    <dataField name="Sum of Other Total Population" fld="26" baseField="0" baseItem="0"/>
    <dataField name="Sum of Total Hindu Population" fld="8" baseField="0" baseItem="0"/>
    <dataField name="Sum of Buddhist Total Population" fld="20" baseField="0" baseItem="0"/>
    <dataField name="Sum of Sikh Total Population" fld="17" baseField="0" baseItem="0"/>
    <dataField name="Sum of Total Muslim Population" fld="11" baseField="0" baseItem="0"/>
    <dataField name="Sum of Christian Total Population" fld="14" baseField="0" baseItem="0"/>
  </dataFields>
  <formats count="20">
    <format dxfId="429">
      <pivotArea type="all" dataOnly="0" outline="0" fieldPosition="0"/>
    </format>
    <format dxfId="428">
      <pivotArea outline="0" collapsedLevelsAreSubtotals="1" fieldPosition="0"/>
    </format>
    <format dxfId="427">
      <pivotArea field="1" type="button" dataOnly="0" labelOnly="1" outline="0" axis="axisRow" fieldPosition="0"/>
    </format>
    <format dxfId="426">
      <pivotArea dataOnly="0" labelOnly="1" fieldPosition="0">
        <references count="1">
          <reference field="1" count="0"/>
        </references>
      </pivotArea>
    </format>
    <format dxfId="425">
      <pivotArea dataOnly="0" labelOnly="1" outline="0" fieldPosition="0">
        <references count="1">
          <reference field="4294967294" count="7">
            <x v="0"/>
            <x v="1"/>
            <x v="2"/>
            <x v="3"/>
            <x v="4"/>
            <x v="5"/>
            <x v="6"/>
          </reference>
        </references>
      </pivotArea>
    </format>
    <format dxfId="424">
      <pivotArea type="all" dataOnly="0" outline="0" fieldPosition="0"/>
    </format>
    <format dxfId="423">
      <pivotArea outline="0" collapsedLevelsAreSubtotals="1" fieldPosition="0"/>
    </format>
    <format dxfId="422">
      <pivotArea field="1" type="button" dataOnly="0" labelOnly="1" outline="0" axis="axisRow" fieldPosition="0"/>
    </format>
    <format dxfId="421">
      <pivotArea dataOnly="0" labelOnly="1" fieldPosition="0">
        <references count="1">
          <reference field="1" count="0"/>
        </references>
      </pivotArea>
    </format>
    <format dxfId="420">
      <pivotArea dataOnly="0" labelOnly="1" outline="0" fieldPosition="0">
        <references count="1">
          <reference field="4294967294" count="7">
            <x v="0"/>
            <x v="1"/>
            <x v="2"/>
            <x v="3"/>
            <x v="4"/>
            <x v="5"/>
            <x v="6"/>
          </reference>
        </references>
      </pivotArea>
    </format>
    <format dxfId="419">
      <pivotArea type="all" dataOnly="0" outline="0" fieldPosition="0"/>
    </format>
    <format dxfId="418">
      <pivotArea outline="0" collapsedLevelsAreSubtotals="1" fieldPosition="0"/>
    </format>
    <format dxfId="417">
      <pivotArea field="1" type="button" dataOnly="0" labelOnly="1" outline="0" axis="axisRow" fieldPosition="0"/>
    </format>
    <format dxfId="416">
      <pivotArea dataOnly="0" labelOnly="1" fieldPosition="0">
        <references count="1">
          <reference field="1" count="0"/>
        </references>
      </pivotArea>
    </format>
    <format dxfId="415">
      <pivotArea dataOnly="0" labelOnly="1" outline="0" fieldPosition="0">
        <references count="1">
          <reference field="4294967294" count="7">
            <x v="0"/>
            <x v="1"/>
            <x v="2"/>
            <x v="3"/>
            <x v="4"/>
            <x v="5"/>
            <x v="6"/>
          </reference>
        </references>
      </pivotArea>
    </format>
    <format dxfId="414">
      <pivotArea type="all" dataOnly="0" outline="0" fieldPosition="0"/>
    </format>
    <format dxfId="413">
      <pivotArea outline="0" collapsedLevelsAreSubtotals="1" fieldPosition="0"/>
    </format>
    <format dxfId="412">
      <pivotArea field="1" type="button" dataOnly="0" labelOnly="1" outline="0" axis="axisRow" fieldPosition="0"/>
    </format>
    <format dxfId="411">
      <pivotArea dataOnly="0" labelOnly="1" fieldPosition="0">
        <references count="1">
          <reference field="1" count="0"/>
        </references>
      </pivotArea>
    </format>
    <format dxfId="410">
      <pivotArea dataOnly="0" labelOnly="1" outline="0" fieldPosition="0">
        <references count="1">
          <reference field="4294967294" count="7">
            <x v="0"/>
            <x v="1"/>
            <x v="2"/>
            <x v="3"/>
            <x v="4"/>
            <x v="5"/>
            <x v="6"/>
          </reference>
        </references>
      </pivotArea>
    </format>
  </format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 chart="0" format="7">
      <pivotArea type="data" outline="0" fieldPosition="0">
        <references count="2">
          <reference field="4294967294" count="1" selected="0">
            <x v="4"/>
          </reference>
          <reference field="1" count="1" selected="0">
            <x v="0"/>
          </reference>
        </references>
      </pivotArea>
    </chartFormat>
    <chartFormat chart="0" format="8">
      <pivotArea type="data" outline="0" fieldPosition="0">
        <references count="2">
          <reference field="4294967294" count="1" selected="0">
            <x v="4"/>
          </reference>
          <reference field="1" count="1" selected="0">
            <x v="1"/>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1"/>
          </reference>
        </references>
      </pivotArea>
    </chartFormat>
    <chartFormat chart="17" format="20"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3"/>
          </reference>
        </references>
      </pivotArea>
    </chartFormat>
    <chartFormat chart="17" format="22" series="1">
      <pivotArea type="data" outline="0" fieldPosition="0">
        <references count="1">
          <reference field="4294967294" count="1" selected="0">
            <x v="4"/>
          </reference>
        </references>
      </pivotArea>
    </chartFormat>
    <chartFormat chart="17" format="23">
      <pivotArea type="data" outline="0" fieldPosition="0">
        <references count="2">
          <reference field="4294967294" count="1" selected="0">
            <x v="4"/>
          </reference>
          <reference field="1" count="1" selected="0">
            <x v="0"/>
          </reference>
        </references>
      </pivotArea>
    </chartFormat>
    <chartFormat chart="17" format="24">
      <pivotArea type="data" outline="0" fieldPosition="0">
        <references count="2">
          <reference field="4294967294" count="1" selected="0">
            <x v="4"/>
          </reference>
          <reference field="1" count="1" selected="0">
            <x v="1"/>
          </reference>
        </references>
      </pivotArea>
    </chartFormat>
    <chartFormat chart="17" format="25" series="1">
      <pivotArea type="data" outline="0" fieldPosition="0">
        <references count="1">
          <reference field="4294967294" count="1" selected="0">
            <x v="5"/>
          </reference>
        </references>
      </pivotArea>
    </chartFormat>
    <chartFormat chart="17" format="26" series="1">
      <pivotArea type="data" outline="0" fieldPosition="0">
        <references count="1">
          <reference field="4294967294" count="1" selected="0">
            <x v="6"/>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05B97D-66E4-4BEB-A83B-6C6B171403C0}" name="PivotTable1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14:C20" firstHeaderRow="1" firstDataRow="2" firstDataCol="1"/>
  <pivotFields count="27">
    <pivotField showAll="0"/>
    <pivotField axis="axisCol" showAll="0">
      <items count="3">
        <item x="0"/>
        <item x="1"/>
        <item t="default"/>
      </items>
    </pivotField>
    <pivotField axis="axisRow" showAll="0">
      <items count="7">
        <item x="4"/>
        <item x="1"/>
        <item x="0"/>
        <item x="3"/>
        <item m="1" x="5"/>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5"/>
    </i>
  </rowItems>
  <colFields count="1">
    <field x="1"/>
  </colFields>
  <colItems count="2">
    <i>
      <x/>
    </i>
    <i>
      <x v="1"/>
    </i>
  </colItems>
  <dataFields count="1">
    <dataField name="Sum of Total Population" fld="5" baseField="0" baseItem="0"/>
  </dataFields>
  <formats count="3">
    <format dxfId="432">
      <pivotArea type="all" dataOnly="0" outline="0" fieldPosition="0"/>
    </format>
    <format dxfId="431">
      <pivotArea type="all" dataOnly="0" outline="0" fieldPosition="0"/>
    </format>
    <format dxfId="430">
      <pivotArea type="all" dataOnly="0" outline="0" fieldPosition="0"/>
    </format>
  </formats>
  <chartFormats count="8">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20" format="6"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1"/>
          </reference>
        </references>
      </pivotArea>
    </chartFormat>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59A463-133F-49D9-A813-279C6DCAC1E5}" name="PivotTable2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P15:R21" firstHeaderRow="1" firstDataRow="2" firstDataCol="1"/>
  <pivotFields count="27">
    <pivotField showAll="0"/>
    <pivotField axis="axisCol" showAll="0">
      <items count="3">
        <item x="0"/>
        <item x="1"/>
        <item t="default"/>
      </items>
    </pivotField>
    <pivotField axis="axisRow" showAll="0">
      <items count="7">
        <item x="4"/>
        <item x="1"/>
        <item x="0"/>
        <item x="3"/>
        <item m="1" x="5"/>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5"/>
    </i>
  </rowItems>
  <colFields count="1">
    <field x="1"/>
  </colFields>
  <colItems count="2">
    <i>
      <x/>
    </i>
    <i>
      <x v="1"/>
    </i>
  </colItems>
  <dataFields count="1">
    <dataField name="Sum of Total Population" fld="5" baseField="0" baseItem="0"/>
  </dataFields>
  <formats count="32">
    <format dxfId="464">
      <pivotArea type="all" dataOnly="0" outline="0" fieldPosition="0"/>
    </format>
    <format dxfId="463">
      <pivotArea outline="0" collapsedLevelsAreSubtotals="1" fieldPosition="0"/>
    </format>
    <format dxfId="462">
      <pivotArea type="origin" dataOnly="0" labelOnly="1" outline="0" fieldPosition="0"/>
    </format>
    <format dxfId="461">
      <pivotArea field="1" type="button" dataOnly="0" labelOnly="1" outline="0" axis="axisCol" fieldPosition="0"/>
    </format>
    <format dxfId="460">
      <pivotArea type="topRight" dataOnly="0" labelOnly="1" outline="0" fieldPosition="0"/>
    </format>
    <format dxfId="459">
      <pivotArea field="2" type="button" dataOnly="0" labelOnly="1" outline="0" axis="axisRow" fieldPosition="0"/>
    </format>
    <format dxfId="458">
      <pivotArea dataOnly="0" labelOnly="1" fieldPosition="0">
        <references count="1">
          <reference field="2" count="0"/>
        </references>
      </pivotArea>
    </format>
    <format dxfId="457">
      <pivotArea dataOnly="0" labelOnly="1" fieldPosition="0">
        <references count="1">
          <reference field="1" count="0"/>
        </references>
      </pivotArea>
    </format>
    <format dxfId="456">
      <pivotArea type="all" dataOnly="0" outline="0" fieldPosition="0"/>
    </format>
    <format dxfId="455">
      <pivotArea outline="0" collapsedLevelsAreSubtotals="1" fieldPosition="0"/>
    </format>
    <format dxfId="454">
      <pivotArea type="origin" dataOnly="0" labelOnly="1" outline="0" fieldPosition="0"/>
    </format>
    <format dxfId="453">
      <pivotArea field="1" type="button" dataOnly="0" labelOnly="1" outline="0" axis="axisCol" fieldPosition="0"/>
    </format>
    <format dxfId="452">
      <pivotArea type="topRight" dataOnly="0" labelOnly="1" outline="0" fieldPosition="0"/>
    </format>
    <format dxfId="451">
      <pivotArea field="2" type="button" dataOnly="0" labelOnly="1" outline="0" axis="axisRow" fieldPosition="0"/>
    </format>
    <format dxfId="450">
      <pivotArea dataOnly="0" labelOnly="1" fieldPosition="0">
        <references count="1">
          <reference field="2" count="0"/>
        </references>
      </pivotArea>
    </format>
    <format dxfId="449">
      <pivotArea dataOnly="0" labelOnly="1" fieldPosition="0">
        <references count="1">
          <reference field="1" count="0"/>
        </references>
      </pivotArea>
    </format>
    <format dxfId="448">
      <pivotArea type="all" dataOnly="0" outline="0" fieldPosition="0"/>
    </format>
    <format dxfId="447">
      <pivotArea outline="0" collapsedLevelsAreSubtotals="1" fieldPosition="0"/>
    </format>
    <format dxfId="446">
      <pivotArea type="origin" dataOnly="0" labelOnly="1" outline="0" fieldPosition="0"/>
    </format>
    <format dxfId="445">
      <pivotArea field="1" type="button" dataOnly="0" labelOnly="1" outline="0" axis="axisCol" fieldPosition="0"/>
    </format>
    <format dxfId="444">
      <pivotArea type="topRight" dataOnly="0" labelOnly="1" outline="0" fieldPosition="0"/>
    </format>
    <format dxfId="443">
      <pivotArea field="2" type="button" dataOnly="0" labelOnly="1" outline="0" axis="axisRow" fieldPosition="0"/>
    </format>
    <format dxfId="442">
      <pivotArea dataOnly="0" labelOnly="1" fieldPosition="0">
        <references count="1">
          <reference field="2" count="0"/>
        </references>
      </pivotArea>
    </format>
    <format dxfId="441">
      <pivotArea dataOnly="0" labelOnly="1" fieldPosition="0">
        <references count="1">
          <reference field="1" count="0"/>
        </references>
      </pivotArea>
    </format>
    <format dxfId="440">
      <pivotArea type="all" dataOnly="0" outline="0" fieldPosition="0"/>
    </format>
    <format dxfId="439">
      <pivotArea outline="0" collapsedLevelsAreSubtotals="1" fieldPosition="0"/>
    </format>
    <format dxfId="438">
      <pivotArea type="origin" dataOnly="0" labelOnly="1" outline="0" fieldPosition="0"/>
    </format>
    <format dxfId="437">
      <pivotArea field="1" type="button" dataOnly="0" labelOnly="1" outline="0" axis="axisCol" fieldPosition="0"/>
    </format>
    <format dxfId="436">
      <pivotArea type="topRight" dataOnly="0" labelOnly="1" outline="0" fieldPosition="0"/>
    </format>
    <format dxfId="435">
      <pivotArea field="2" type="button" dataOnly="0" labelOnly="1" outline="0" axis="axisRow" fieldPosition="0"/>
    </format>
    <format dxfId="434">
      <pivotArea dataOnly="0" labelOnly="1" fieldPosition="0">
        <references count="1">
          <reference field="2" count="0"/>
        </references>
      </pivotArea>
    </format>
    <format dxfId="433">
      <pivotArea dataOnly="0" labelOnly="1" fieldPosition="0">
        <references count="1">
          <reference field="1" count="0"/>
        </references>
      </pivotArea>
    </format>
  </formats>
  <chartFormats count="8">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0"/>
          </reference>
        </references>
      </pivotArea>
    </chartFormat>
    <chartFormat chart="18" format="3" series="1">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 chart="26" format="8" series="1">
      <pivotArea type="data" outline="0" fieldPosition="0">
        <references count="2">
          <reference field="4294967294" count="1" selected="0">
            <x v="0"/>
          </reference>
          <reference field="1" count="1" selected="0">
            <x v="0"/>
          </reference>
        </references>
      </pivotArea>
    </chartFormat>
    <chartFormat chart="26" format="9" series="1">
      <pivotArea type="data" outline="0" fieldPosition="0">
        <references count="2">
          <reference field="4294967294" count="1" selected="0">
            <x v="0"/>
          </reference>
          <reference field="1"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EFF30C-4BD3-487E-8F7A-9E0ADFFF7F40}"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K19" firstHeaderRow="1" firstDataRow="2" firstDataCol="1"/>
  <pivotFields count="27">
    <pivotField showAll="0"/>
    <pivotField axis="axisRow" showAll="0">
      <items count="3">
        <item x="0"/>
        <item x="1"/>
        <item t="default"/>
      </items>
    </pivotField>
    <pivotField axis="axisCol" showAll="0">
      <items count="7">
        <item x="4"/>
        <item x="1"/>
        <item x="0"/>
        <item x="3"/>
        <item m="1" x="5"/>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6">
    <i>
      <x/>
    </i>
    <i>
      <x v="1"/>
    </i>
    <i>
      <x v="2"/>
    </i>
    <i>
      <x v="3"/>
    </i>
    <i>
      <x v="5"/>
    </i>
    <i t="grand">
      <x/>
    </i>
  </colItems>
  <dataFields count="1">
    <dataField name="Sum of Total Population" fld="5" baseField="0" baseItem="0"/>
  </dataFields>
  <formats count="40">
    <format dxfId="504">
      <pivotArea type="all" dataOnly="0" outline="0" fieldPosition="0"/>
    </format>
    <format dxfId="503">
      <pivotArea outline="0" collapsedLevelsAreSubtotals="1" fieldPosition="0"/>
    </format>
    <format dxfId="502">
      <pivotArea type="origin" dataOnly="0" labelOnly="1" outline="0" fieldPosition="0"/>
    </format>
    <format dxfId="501">
      <pivotArea field="2" type="button" dataOnly="0" labelOnly="1" outline="0" axis="axisCol" fieldPosition="0"/>
    </format>
    <format dxfId="500">
      <pivotArea type="topRight" dataOnly="0" labelOnly="1" outline="0" fieldPosition="0"/>
    </format>
    <format dxfId="499">
      <pivotArea field="1" type="button" dataOnly="0" labelOnly="1" outline="0" axis="axisRow" fieldPosition="0"/>
    </format>
    <format dxfId="498">
      <pivotArea dataOnly="0" labelOnly="1" fieldPosition="0">
        <references count="1">
          <reference field="1" count="0"/>
        </references>
      </pivotArea>
    </format>
    <format dxfId="497">
      <pivotArea dataOnly="0" labelOnly="1" grandRow="1" outline="0" fieldPosition="0"/>
    </format>
    <format dxfId="496">
      <pivotArea dataOnly="0" labelOnly="1" fieldPosition="0">
        <references count="1">
          <reference field="2" count="0"/>
        </references>
      </pivotArea>
    </format>
    <format dxfId="495">
      <pivotArea dataOnly="0" labelOnly="1" grandCol="1" outline="0" fieldPosition="0"/>
    </format>
    <format dxfId="494">
      <pivotArea type="all" dataOnly="0" outline="0" fieldPosition="0"/>
    </format>
    <format dxfId="493">
      <pivotArea outline="0" collapsedLevelsAreSubtotals="1" fieldPosition="0"/>
    </format>
    <format dxfId="492">
      <pivotArea type="origin" dataOnly="0" labelOnly="1" outline="0" fieldPosition="0"/>
    </format>
    <format dxfId="491">
      <pivotArea field="2" type="button" dataOnly="0" labelOnly="1" outline="0" axis="axisCol" fieldPosition="0"/>
    </format>
    <format dxfId="490">
      <pivotArea type="topRight" dataOnly="0" labelOnly="1" outline="0" fieldPosition="0"/>
    </format>
    <format dxfId="489">
      <pivotArea field="1" type="button" dataOnly="0" labelOnly="1" outline="0" axis="axisRow" fieldPosition="0"/>
    </format>
    <format dxfId="488">
      <pivotArea dataOnly="0" labelOnly="1" fieldPosition="0">
        <references count="1">
          <reference field="1" count="0"/>
        </references>
      </pivotArea>
    </format>
    <format dxfId="487">
      <pivotArea dataOnly="0" labelOnly="1" grandRow="1" outline="0" fieldPosition="0"/>
    </format>
    <format dxfId="486">
      <pivotArea dataOnly="0" labelOnly="1" fieldPosition="0">
        <references count="1">
          <reference field="2" count="0"/>
        </references>
      </pivotArea>
    </format>
    <format dxfId="485">
      <pivotArea dataOnly="0" labelOnly="1" grandCol="1" outline="0" fieldPosition="0"/>
    </format>
    <format dxfId="484">
      <pivotArea type="all" dataOnly="0" outline="0" fieldPosition="0"/>
    </format>
    <format dxfId="483">
      <pivotArea outline="0" collapsedLevelsAreSubtotals="1" fieldPosition="0"/>
    </format>
    <format dxfId="482">
      <pivotArea type="origin" dataOnly="0" labelOnly="1" outline="0" fieldPosition="0"/>
    </format>
    <format dxfId="481">
      <pivotArea field="2" type="button" dataOnly="0" labelOnly="1" outline="0" axis="axisCol" fieldPosition="0"/>
    </format>
    <format dxfId="480">
      <pivotArea type="topRight" dataOnly="0" labelOnly="1" outline="0" fieldPosition="0"/>
    </format>
    <format dxfId="479">
      <pivotArea field="1" type="button" dataOnly="0" labelOnly="1" outline="0" axis="axisRow" fieldPosition="0"/>
    </format>
    <format dxfId="478">
      <pivotArea dataOnly="0" labelOnly="1" fieldPosition="0">
        <references count="1">
          <reference field="1" count="0"/>
        </references>
      </pivotArea>
    </format>
    <format dxfId="477">
      <pivotArea dataOnly="0" labelOnly="1" grandRow="1" outline="0" fieldPosition="0"/>
    </format>
    <format dxfId="476">
      <pivotArea dataOnly="0" labelOnly="1" fieldPosition="0">
        <references count="1">
          <reference field="2" count="0"/>
        </references>
      </pivotArea>
    </format>
    <format dxfId="475">
      <pivotArea dataOnly="0" labelOnly="1" grandCol="1" outline="0" fieldPosition="0"/>
    </format>
    <format dxfId="474">
      <pivotArea type="all" dataOnly="0" outline="0" fieldPosition="0"/>
    </format>
    <format dxfId="473">
      <pivotArea outline="0" collapsedLevelsAreSubtotals="1" fieldPosition="0"/>
    </format>
    <format dxfId="472">
      <pivotArea type="origin" dataOnly="0" labelOnly="1" outline="0" fieldPosition="0"/>
    </format>
    <format dxfId="471">
      <pivotArea field="2" type="button" dataOnly="0" labelOnly="1" outline="0" axis="axisCol" fieldPosition="0"/>
    </format>
    <format dxfId="470">
      <pivotArea type="topRight" dataOnly="0" labelOnly="1" outline="0" fieldPosition="0"/>
    </format>
    <format dxfId="469">
      <pivotArea field="1" type="button" dataOnly="0" labelOnly="1" outline="0" axis="axisRow" fieldPosition="0"/>
    </format>
    <format dxfId="468">
      <pivotArea dataOnly="0" labelOnly="1" fieldPosition="0">
        <references count="1">
          <reference field="1" count="0"/>
        </references>
      </pivotArea>
    </format>
    <format dxfId="467">
      <pivotArea dataOnly="0" labelOnly="1" grandRow="1" outline="0" fieldPosition="0"/>
    </format>
    <format dxfId="466">
      <pivotArea dataOnly="0" labelOnly="1" fieldPosition="0">
        <references count="1">
          <reference field="2" count="0"/>
        </references>
      </pivotArea>
    </format>
    <format dxfId="465">
      <pivotArea dataOnly="0" labelOnly="1" grandCol="1" outline="0"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974C00-84A5-4E6D-ABAD-79B0DDD1A5C6}" sourceName="Gender">
  <pivotTables>
    <pivotTable tabId="3" name="PivotTable14"/>
    <pivotTable tabId="3" name="PivotTable12"/>
    <pivotTable tabId="3" name="PivotTable13"/>
  </pivotTables>
  <data>
    <tabular pivotCacheId="174472726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 xr10:uid="{E382EF2F-B523-43D5-B99A-B67A3D1A14B5}" sourceName="Urban/Rural">
  <pivotTables>
    <pivotTable tabId="2" name="PivotTable6"/>
    <pivotTable tabId="2" name="PivotTable2"/>
    <pivotTable tabId="2" name="PivotTable3"/>
    <pivotTable tabId="2" name="PivotTable5"/>
  </pivotTables>
  <data>
    <tabular pivotCacheId="15709666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ban/Rural" xr10:uid="{A92756F4-63F7-486B-903F-60D32AE7AC94}" cache="Slicer_Urban_Rural" caption="Urban/Rural"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5DA8119-3DEF-4426-BAC6-97222F213BF6}" cache="Slicer_Gender" caption="Gender"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BCE63E9-8C3D-4697-BC4D-8A0BA0E13351}" cache="Slicer_Gender" caption="Gender" style="SlicerStyleLight2" rowHeight="241300"/>
  <slicer name="Urban/Rural 1" xr10:uid="{32F0AA3A-DDE5-43B5-9314-FA0A1AA05D89}" cache="Slicer_Urban_Rural" caption="Urban/Rural"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0378D5-C9E1-465A-8718-C7D4075A7688}" name="Population" displayName="Population" ref="B2:F12" totalsRowShown="0" headerRowDxfId="696" dataDxfId="694" headerRowBorderDxfId="695" tableBorderDxfId="693" totalsRowBorderDxfId="692">
  <autoFilter ref="B2:F12" xr:uid="{B30378D5-C9E1-465A-8718-C7D4075A7688}"/>
  <tableColumns count="5">
    <tableColumn id="1" xr3:uid="{60CBDED1-6C27-42D9-A584-DAA5EA03BC30}" name="Urban/Rural" dataDxfId="691"/>
    <tableColumn id="2" xr3:uid="{11A4B6C2-921C-4F5D-BA6C-69C17BCF666C}" name="Age Group" dataDxfId="690"/>
    <tableColumn id="3" xr3:uid="{69E00392-B690-4A6D-9C93-63998F42CE79}" name="Male Population" dataDxfId="689"/>
    <tableColumn id="4" xr3:uid="{E3CC6343-B45D-41BF-B7C5-6DF9D85F53F6}" name="Female Population" dataDxfId="688"/>
    <tableColumn id="5" xr3:uid="{1D91E913-5BD5-40FF-AF0C-50E7DDF7A753}" name="Total Population" dataDxfId="68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61CF5A-0ADC-4106-AB8B-D363DCD04353}" name="Table4" displayName="Table4" ref="A2:J22" totalsRowShown="0" headerRowDxfId="595" dataDxfId="593" headerRowBorderDxfId="594" tableBorderDxfId="592" totalsRowBorderDxfId="591">
  <tableColumns count="10">
    <tableColumn id="1" xr3:uid="{939F4DCD-25B5-4EBB-ABAF-2FFC4473C690}" name="Area" dataDxfId="590"/>
    <tableColumn id="2" xr3:uid="{8920CDEB-E0C8-4153-A92B-FD17B54B257D}" name="Urban/Rural" dataDxfId="589"/>
    <tableColumn id="3" xr3:uid="{BF4B611D-51D9-47A4-AE27-3842B128A215}" name="Education" dataDxfId="588"/>
    <tableColumn id="4" xr3:uid="{7BA88830-1FEE-45CE-A062-556FD96F15E7}" name="Age" dataDxfId="587"/>
    <tableColumn id="5" xr3:uid="{798C309C-50EE-43E8-A0A8-15A8DC60F580}" name="Total Women" dataDxfId="586"/>
    <tableColumn id="6" xr3:uid="{03909BC5-483F-4175-B143-22FBA6E81FAE}" name="Total ever married_x000a_women" dataDxfId="585"/>
    <tableColumn id="11" xr3:uid="{6C7CD402-E585-4614-AF62-B249963AF0FA}" name="Total ever Married/ Total women" dataDxfId="584" dataCellStyle="Percent">
      <calculatedColumnFormula>Table4[[#This Row],[Total ever married
women]]/Table4[[#This Row],[Total Women]]</calculatedColumnFormula>
    </tableColumn>
    <tableColumn id="7" xr3:uid="{38F3D8E4-E838-4156-83E1-7FF8E4B23148}" name="Total Number of Surviving Children Male" dataDxfId="583"/>
    <tableColumn id="8" xr3:uid="{DE2E76B1-F348-46C3-B2F3-747C3A8C185A}" name="Total Number of Surviving Children Female" dataDxfId="582"/>
    <tableColumn id="9" xr3:uid="{1C948BDF-191B-4020-B231-08BA1370635F}" name="Total Surviving Children" dataDxfId="581">
      <calculatedColumnFormula>SUM(Table4[[#This Row],[Total Number of Surviving Children Male]:[Total Number of Surviving Children Female]])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D81F16-4E26-47BD-B893-68788CEC9D27}" name="Table6" displayName="Table6" ref="B2:G14" totalsRowShown="0" headerRowDxfId="378" dataDxfId="377" headerRowBorderDxfId="375" tableBorderDxfId="376" totalsRowBorderDxfId="374">
  <tableColumns count="6">
    <tableColumn id="1" xr3:uid="{E94B6353-4186-4110-A68A-76FC4F581EA0}" name="Urban/Rural" dataDxfId="373"/>
    <tableColumn id="2" xr3:uid="{F57F711A-F59F-4C41-A355-1A8697FF5562}" name="Age Group" dataDxfId="372"/>
    <tableColumn id="13" xr3:uid="{78C90C94-FB4B-4FE5-946F-97563CEAA790}" name="Gender" dataDxfId="371"/>
    <tableColumn id="3" xr3:uid="{B2B66CA2-8B69-440F-8E92-890593706632}" name="Population" dataDxfId="370"/>
    <tableColumn id="6" xr3:uid="{CFE6EA20-9F7D-41C7-BE06-7AB18752E278}" name="Attending" dataDxfId="369"/>
    <tableColumn id="14" xr3:uid="{7D9A7577-461B-4C82-948A-830F04B635EA}" name="Attendance Rate" dataDxfId="368" dataCellStyle="Percent">
      <calculatedColumnFormula>Table6[[#This Row],[Attending]]/Table6[[#This Row],[Population]]</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65652D-2026-45CC-B6DE-9800A145B446}" name="Table7" displayName="Table7" ref="B2:AA12" totalsRowShown="0" headerRowDxfId="409" dataDxfId="407" headerRowBorderDxfId="408" tableBorderDxfId="406" totalsRowBorderDxfId="405">
  <tableColumns count="26">
    <tableColumn id="1" xr3:uid="{DB2AFE57-746D-4B90-B7CF-9F14ED59C317}" name="Urban/Rural" dataDxfId="404"/>
    <tableColumn id="2" xr3:uid="{2DC73120-9832-4C8E-86F0-0DA4F79F4B21}" name="Marital Status" dataDxfId="403"/>
    <tableColumn id="3" xr3:uid="{5EA2045E-4B83-4A9D-9571-4823011FC50A}" name="Total Male Population" dataDxfId="402"/>
    <tableColumn id="4" xr3:uid="{68C11F18-DADE-4A84-93B5-74DDE703B3C2}" name="Total Female Population" dataDxfId="401"/>
    <tableColumn id="5" xr3:uid="{61470A20-4FD1-49FF-87AF-4A0C13F86FEA}" name="Total Population" dataDxfId="400">
      <calculatedColumnFormula>SUM(D3:E3)</calculatedColumnFormula>
    </tableColumn>
    <tableColumn id="6" xr3:uid="{27CAC5BD-586F-4A79-82E4-B9289EBE4256}" name="Hindu Male Population" dataDxfId="399"/>
    <tableColumn id="7" xr3:uid="{F3D4691D-C32E-4F8A-AFF9-EEC7D79EEA18}" name="Hindu Female Population" dataDxfId="398"/>
    <tableColumn id="8" xr3:uid="{953C96B7-2E76-431A-BFE6-4E652883A571}" name="Total Hindu Population" dataDxfId="397">
      <calculatedColumnFormula>SUM(G3:H3)</calculatedColumnFormula>
    </tableColumn>
    <tableColumn id="9" xr3:uid="{8612805A-2F14-4AA0-BF6A-8E0DBBDA0485}" name="Muslim Male Population" dataDxfId="396"/>
    <tableColumn id="10" xr3:uid="{50D67E24-86DE-41D0-8DF0-80D0CD2D5D3A}" name="Muslim Female Population" dataDxfId="395"/>
    <tableColumn id="11" xr3:uid="{34B1ABD8-4272-4813-8869-2AAC940F8564}" name="Total Muslim Population" dataDxfId="394">
      <calculatedColumnFormula>SUM(J3:K3)</calculatedColumnFormula>
    </tableColumn>
    <tableColumn id="12" xr3:uid="{008803DC-EA64-4C7B-95B2-C2EF4F5B6F0A}" name="Christian Male Population" dataDxfId="393"/>
    <tableColumn id="13" xr3:uid="{B5DF4048-862E-448D-A2A9-F88009C865AD}" name="Christian Female Population" dataDxfId="392"/>
    <tableColumn id="14" xr3:uid="{F7E9C83A-A5A5-47F6-96B9-741E601B4904}" name="Christian Total Population" dataDxfId="391">
      <calculatedColumnFormula>SUM(M3:N3)</calculatedColumnFormula>
    </tableColumn>
    <tableColumn id="15" xr3:uid="{A4DBBCCA-98B1-4CB1-8125-1547992C2B00}" name="Sikh Male Population" dataDxfId="390"/>
    <tableColumn id="16" xr3:uid="{C4804B70-214E-4508-ACC5-437D3A4DAFC9}" name="Sikh Female Population" dataDxfId="389"/>
    <tableColumn id="17" xr3:uid="{1EB14DE1-E18A-4515-A08E-F96945FC86BD}" name="Sikh Total Population" dataDxfId="388">
      <calculatedColumnFormula>SUM(P3:Q3)</calculatedColumnFormula>
    </tableColumn>
    <tableColumn id="18" xr3:uid="{CE1DB901-BE15-4C3E-A88C-5DAFE43BCEB6}" name="Buddhist Male Population" dataDxfId="387"/>
    <tableColumn id="19" xr3:uid="{B91FDEAC-E57E-4A17-8B5C-01095AB439E6}" name="Buddhist Female Population" dataDxfId="386"/>
    <tableColumn id="20" xr3:uid="{0B00FB36-3E2A-4044-8069-CD4717478424}" name="Buddhist Total Population" dataDxfId="385">
      <calculatedColumnFormula>SUM(S3:T3)</calculatedColumnFormula>
    </tableColumn>
    <tableColumn id="21" xr3:uid="{582A7679-2C23-4BD2-9B8D-8AC85613523C}" name="Jain Male Population" dataDxfId="384"/>
    <tableColumn id="22" xr3:uid="{1E66F180-652B-4B36-B940-41278023C509}" name="Jain Female Population" dataDxfId="383"/>
    <tableColumn id="23" xr3:uid="{3DE21993-E388-465E-BA74-509FA6ACE9B9}" name="Jain Total Population" dataDxfId="382">
      <calculatedColumnFormula>SUM(V3:W3)</calculatedColumnFormula>
    </tableColumn>
    <tableColumn id="24" xr3:uid="{E0E7AE23-4FB8-43C6-909C-0AA21C8CB396}" name="Other Male Population" dataDxfId="381"/>
    <tableColumn id="25" xr3:uid="{106337BB-5CA3-4E49-A047-9923B30F66C0}" name="Other Female Population" dataDxfId="380"/>
    <tableColumn id="26" xr3:uid="{FCF55DB3-2730-464C-802A-3A13FB197FD6}" name="Other Total Population" dataDxfId="379">
      <calculatedColumnFormula>SUM(Y3:Z3)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table" Target="../tables/table3.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table" Target="../tables/table4.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AAA14-6973-4F89-877A-546AFFAF985A}">
  <sheetPr>
    <tabColor theme="5" tint="0.39997558519241921"/>
  </sheetPr>
  <dimension ref="A1:T38"/>
  <sheetViews>
    <sheetView showGridLines="0" zoomScale="57" zoomScaleNormal="86" workbookViewId="0">
      <selection activeCell="F15" sqref="F15"/>
    </sheetView>
  </sheetViews>
  <sheetFormatPr defaultRowHeight="14.5" x14ac:dyDescent="0.35"/>
  <cols>
    <col min="1" max="1" width="12.36328125" bestFit="1" customWidth="1"/>
    <col min="2" max="2" width="21.26953125" bestFit="1" customWidth="1"/>
    <col min="3" max="3" width="23" bestFit="1" customWidth="1"/>
    <col min="4" max="4" width="15.26953125" customWidth="1"/>
    <col min="5" max="5" width="16.90625" customWidth="1"/>
    <col min="6" max="6" width="16.453125" customWidth="1"/>
    <col min="8" max="8" width="14.7265625" bestFit="1" customWidth="1"/>
    <col min="9" max="9" width="24.36328125" bestFit="1" customWidth="1"/>
    <col min="10" max="10" width="22.453125" bestFit="1" customWidth="1"/>
    <col min="11" max="11" width="7.453125" customWidth="1"/>
    <col min="12" max="12" width="14.7265625" bestFit="1" customWidth="1"/>
    <col min="13" max="13" width="22.453125" bestFit="1" customWidth="1"/>
    <col min="14" max="14" width="5.1796875" bestFit="1" customWidth="1"/>
    <col min="15" max="15" width="14.7265625" bestFit="1" customWidth="1"/>
    <col min="16" max="16" width="22.453125" bestFit="1" customWidth="1"/>
    <col min="17" max="17" width="24.36328125" bestFit="1" customWidth="1"/>
    <col min="18" max="18" width="10.36328125" customWidth="1"/>
    <col min="19" max="19" width="14.7265625" bestFit="1" customWidth="1"/>
    <col min="20" max="20" width="22.453125" bestFit="1" customWidth="1"/>
  </cols>
  <sheetData>
    <row r="1" spans="1:20" ht="24" customHeight="1" x14ac:dyDescent="0.35">
      <c r="A1" s="67" t="s">
        <v>52</v>
      </c>
      <c r="B1" s="68"/>
      <c r="C1" s="68"/>
      <c r="D1" s="68"/>
      <c r="E1" s="68"/>
      <c r="F1" s="69"/>
    </row>
    <row r="2" spans="1:20" x14ac:dyDescent="0.35">
      <c r="A2" s="9" t="s">
        <v>5</v>
      </c>
      <c r="B2" s="2" t="s">
        <v>6</v>
      </c>
      <c r="C2" s="3" t="s">
        <v>13</v>
      </c>
      <c r="D2" s="3" t="s">
        <v>14</v>
      </c>
      <c r="E2" s="3" t="s">
        <v>15</v>
      </c>
      <c r="F2" s="10" t="s">
        <v>16</v>
      </c>
      <c r="H2" s="59" t="s">
        <v>59</v>
      </c>
      <c r="I2" s="60" t="s">
        <v>62</v>
      </c>
      <c r="J2" s="60" t="s">
        <v>61</v>
      </c>
      <c r="L2" s="59" t="s">
        <v>59</v>
      </c>
      <c r="M2" s="60" t="s">
        <v>63</v>
      </c>
      <c r="O2" s="59" t="s">
        <v>59</v>
      </c>
      <c r="P2" s="60" t="s">
        <v>61</v>
      </c>
      <c r="Q2" s="60" t="s">
        <v>62</v>
      </c>
      <c r="S2" s="59" t="s">
        <v>59</v>
      </c>
      <c r="T2" s="60" t="s">
        <v>63</v>
      </c>
    </row>
    <row r="3" spans="1:20" x14ac:dyDescent="0.35">
      <c r="A3" s="36" t="s">
        <v>11</v>
      </c>
      <c r="B3" s="37" t="s">
        <v>0</v>
      </c>
      <c r="C3" s="37" t="s">
        <v>53</v>
      </c>
      <c r="D3" s="37">
        <v>126836</v>
      </c>
      <c r="E3" s="37">
        <v>112322</v>
      </c>
      <c r="F3" s="38">
        <v>239158</v>
      </c>
      <c r="H3" s="60" t="s">
        <v>53</v>
      </c>
      <c r="I3" s="80">
        <v>230211</v>
      </c>
      <c r="J3" s="80">
        <v>270287</v>
      </c>
      <c r="K3" s="58"/>
      <c r="L3" s="60" t="s">
        <v>0</v>
      </c>
      <c r="M3" s="80">
        <v>657046</v>
      </c>
      <c r="O3" s="60" t="s">
        <v>0</v>
      </c>
      <c r="P3" s="80">
        <v>355985</v>
      </c>
      <c r="Q3" s="80">
        <v>332163</v>
      </c>
      <c r="S3" s="60" t="s">
        <v>53</v>
      </c>
      <c r="T3" s="80">
        <v>500498</v>
      </c>
    </row>
    <row r="4" spans="1:20" x14ac:dyDescent="0.35">
      <c r="A4" s="36" t="s">
        <v>11</v>
      </c>
      <c r="B4" s="37" t="s">
        <v>0</v>
      </c>
      <c r="C4" s="37" t="s">
        <v>54</v>
      </c>
      <c r="D4" s="37">
        <v>127202</v>
      </c>
      <c r="E4" s="37">
        <v>122620</v>
      </c>
      <c r="F4" s="38">
        <v>249822</v>
      </c>
      <c r="H4" s="60" t="s">
        <v>54</v>
      </c>
      <c r="I4" s="80">
        <v>282831</v>
      </c>
      <c r="J4" s="80">
        <v>301432</v>
      </c>
      <c r="K4" s="58"/>
      <c r="L4" s="60" t="s">
        <v>1</v>
      </c>
      <c r="M4" s="80">
        <v>868930</v>
      </c>
      <c r="O4" s="60" t="s">
        <v>1</v>
      </c>
      <c r="P4" s="80">
        <v>460206</v>
      </c>
      <c r="Q4" s="80">
        <v>408724</v>
      </c>
      <c r="S4" s="60" t="s">
        <v>54</v>
      </c>
      <c r="T4" s="80">
        <v>584263</v>
      </c>
    </row>
    <row r="5" spans="1:20" x14ac:dyDescent="0.35">
      <c r="A5" s="36" t="s">
        <v>11</v>
      </c>
      <c r="B5" s="37" t="s">
        <v>0</v>
      </c>
      <c r="C5" s="37" t="s">
        <v>55</v>
      </c>
      <c r="D5" s="37">
        <v>67165</v>
      </c>
      <c r="E5" s="37">
        <v>62312</v>
      </c>
      <c r="F5" s="38">
        <v>129477</v>
      </c>
      <c r="H5" s="60" t="s">
        <v>55</v>
      </c>
      <c r="I5" s="80">
        <v>153390</v>
      </c>
      <c r="J5" s="80">
        <v>167043</v>
      </c>
      <c r="K5" s="58"/>
      <c r="L5" s="60" t="s">
        <v>60</v>
      </c>
      <c r="M5" s="80">
        <v>1525976</v>
      </c>
      <c r="O5" s="60" t="s">
        <v>60</v>
      </c>
      <c r="P5" s="80">
        <v>816191</v>
      </c>
      <c r="Q5" s="80">
        <v>740887</v>
      </c>
      <c r="S5" s="60" t="s">
        <v>55</v>
      </c>
      <c r="T5" s="80">
        <v>320433</v>
      </c>
    </row>
    <row r="6" spans="1:20" x14ac:dyDescent="0.35">
      <c r="A6" s="36" t="s">
        <v>11</v>
      </c>
      <c r="B6" s="37" t="s">
        <v>0</v>
      </c>
      <c r="C6" s="37" t="s">
        <v>56</v>
      </c>
      <c r="D6" s="37">
        <v>31102</v>
      </c>
      <c r="E6" s="37">
        <v>31102</v>
      </c>
      <c r="F6" s="38">
        <v>31102</v>
      </c>
      <c r="H6" s="60" t="s">
        <v>56</v>
      </c>
      <c r="I6" s="80">
        <v>65304</v>
      </c>
      <c r="J6" s="80">
        <v>69023</v>
      </c>
      <c r="K6" s="58"/>
      <c r="S6" s="60" t="s">
        <v>56</v>
      </c>
      <c r="T6" s="80">
        <v>103225</v>
      </c>
    </row>
    <row r="7" spans="1:20" x14ac:dyDescent="0.35">
      <c r="A7" s="36" t="s">
        <v>11</v>
      </c>
      <c r="B7" s="37" t="s">
        <v>0</v>
      </c>
      <c r="C7" s="37" t="s">
        <v>4</v>
      </c>
      <c r="D7" s="37">
        <v>3680</v>
      </c>
      <c r="E7" s="37">
        <v>3807</v>
      </c>
      <c r="F7" s="38">
        <v>7487</v>
      </c>
      <c r="H7" s="60" t="s">
        <v>4</v>
      </c>
      <c r="I7" s="80">
        <v>9151</v>
      </c>
      <c r="J7" s="80">
        <v>8406</v>
      </c>
      <c r="K7" s="58"/>
      <c r="S7" s="60" t="s">
        <v>4</v>
      </c>
      <c r="T7" s="80">
        <v>17557</v>
      </c>
    </row>
    <row r="8" spans="1:20" x14ac:dyDescent="0.35">
      <c r="A8" s="11" t="s">
        <v>11</v>
      </c>
      <c r="B8" s="7" t="s">
        <v>1</v>
      </c>
      <c r="C8" s="6" t="s">
        <v>53</v>
      </c>
      <c r="D8" s="6">
        <v>143451</v>
      </c>
      <c r="E8" s="6">
        <v>117889</v>
      </c>
      <c r="F8" s="12">
        <v>261340</v>
      </c>
      <c r="K8" s="58"/>
      <c r="S8" s="60" t="s">
        <v>60</v>
      </c>
      <c r="T8" s="80">
        <v>1525976</v>
      </c>
    </row>
    <row r="9" spans="1:20" ht="15" customHeight="1" x14ac:dyDescent="0.35">
      <c r="A9" s="11" t="s">
        <v>11</v>
      </c>
      <c r="B9" s="7" t="s">
        <v>1</v>
      </c>
      <c r="C9" s="6" t="s">
        <v>54</v>
      </c>
      <c r="D9" s="6">
        <v>174230</v>
      </c>
      <c r="E9" s="6">
        <v>160211</v>
      </c>
      <c r="F9" s="12">
        <v>334441</v>
      </c>
    </row>
    <row r="10" spans="1:20" ht="15" customHeight="1" x14ac:dyDescent="0.35">
      <c r="A10" s="11" t="s">
        <v>11</v>
      </c>
      <c r="B10" s="7" t="s">
        <v>1</v>
      </c>
      <c r="C10" s="6" t="s">
        <v>55</v>
      </c>
      <c r="D10" s="6">
        <v>99878</v>
      </c>
      <c r="E10" s="6">
        <v>91078</v>
      </c>
      <c r="F10" s="12">
        <v>190956</v>
      </c>
    </row>
    <row r="11" spans="1:20" ht="15" customHeight="1" x14ac:dyDescent="0.35">
      <c r="A11" s="11" t="s">
        <v>11</v>
      </c>
      <c r="B11" s="7" t="s">
        <v>1</v>
      </c>
      <c r="C11" s="6" t="s">
        <v>56</v>
      </c>
      <c r="D11" s="6">
        <v>37921</v>
      </c>
      <c r="E11" s="6">
        <v>34202</v>
      </c>
      <c r="F11" s="12">
        <v>72123</v>
      </c>
    </row>
    <row r="12" spans="1:20" ht="15" customHeight="1" thickBot="1" x14ac:dyDescent="0.4">
      <c r="A12" s="39" t="s">
        <v>11</v>
      </c>
      <c r="B12" s="40" t="s">
        <v>1</v>
      </c>
      <c r="C12" s="41" t="s">
        <v>4</v>
      </c>
      <c r="D12" s="41">
        <v>4726</v>
      </c>
      <c r="E12" s="41">
        <v>5344</v>
      </c>
      <c r="F12" s="42">
        <v>10070</v>
      </c>
    </row>
    <row r="13" spans="1:20" x14ac:dyDescent="0.35">
      <c r="F13" t="s">
        <v>100</v>
      </c>
    </row>
    <row r="16" spans="1:20" ht="26" x14ac:dyDescent="0.35">
      <c r="B16" s="1" t="s">
        <v>13</v>
      </c>
      <c r="C16" s="1" t="s">
        <v>101</v>
      </c>
      <c r="D16" s="1" t="s">
        <v>102</v>
      </c>
    </row>
    <row r="17" spans="1:5" x14ac:dyDescent="0.35">
      <c r="B17" s="37" t="s">
        <v>53</v>
      </c>
      <c r="C17" s="37">
        <v>239158</v>
      </c>
      <c r="D17" s="6">
        <v>261340</v>
      </c>
    </row>
    <row r="18" spans="1:5" x14ac:dyDescent="0.35">
      <c r="B18" s="37" t="s">
        <v>54</v>
      </c>
      <c r="C18" s="37">
        <v>249822</v>
      </c>
      <c r="D18" s="6">
        <v>334441</v>
      </c>
    </row>
    <row r="19" spans="1:5" x14ac:dyDescent="0.35">
      <c r="B19" s="37" t="s">
        <v>55</v>
      </c>
      <c r="C19" s="37">
        <v>129477</v>
      </c>
      <c r="D19" s="6">
        <v>190956</v>
      </c>
    </row>
    <row r="20" spans="1:5" x14ac:dyDescent="0.35">
      <c r="B20" s="37" t="s">
        <v>56</v>
      </c>
      <c r="C20" s="37">
        <v>31102</v>
      </c>
      <c r="D20" s="6">
        <v>72123</v>
      </c>
    </row>
    <row r="21" spans="1:5" x14ac:dyDescent="0.35">
      <c r="B21" s="37" t="s">
        <v>4</v>
      </c>
      <c r="C21" s="37">
        <v>7487</v>
      </c>
      <c r="D21" s="6">
        <v>10070</v>
      </c>
    </row>
    <row r="24" spans="1:5" x14ac:dyDescent="0.35">
      <c r="A24" s="70" t="s">
        <v>101</v>
      </c>
      <c r="B24" s="71"/>
      <c r="D24" s="70" t="s">
        <v>102</v>
      </c>
      <c r="E24" s="71"/>
    </row>
    <row r="25" spans="1:5" x14ac:dyDescent="0.35">
      <c r="A25" s="64"/>
      <c r="B25" s="64"/>
      <c r="D25" s="64"/>
      <c r="E25" s="64"/>
    </row>
    <row r="26" spans="1:5" x14ac:dyDescent="0.35">
      <c r="A26" s="64" t="s">
        <v>85</v>
      </c>
      <c r="B26" s="64">
        <v>131409.20000000001</v>
      </c>
      <c r="D26" s="64" t="s">
        <v>85</v>
      </c>
      <c r="E26" s="64">
        <v>173786</v>
      </c>
    </row>
    <row r="27" spans="1:5" x14ac:dyDescent="0.35">
      <c r="A27" s="64" t="s">
        <v>86</v>
      </c>
      <c r="B27" s="64">
        <v>50523.942110053133</v>
      </c>
      <c r="D27" s="64" t="s">
        <v>86</v>
      </c>
      <c r="E27" s="64">
        <v>59543.612195599955</v>
      </c>
    </row>
    <row r="28" spans="1:5" x14ac:dyDescent="0.35">
      <c r="A28" s="64" t="s">
        <v>87</v>
      </c>
      <c r="B28" s="64">
        <v>129477</v>
      </c>
      <c r="D28" s="64" t="s">
        <v>87</v>
      </c>
      <c r="E28" s="64">
        <v>190956</v>
      </c>
    </row>
    <row r="29" spans="1:5" x14ac:dyDescent="0.35">
      <c r="A29" s="64" t="s">
        <v>88</v>
      </c>
      <c r="B29" s="64" t="e">
        <v>#N/A</v>
      </c>
      <c r="D29" s="64" t="s">
        <v>88</v>
      </c>
      <c r="E29" s="64" t="e">
        <v>#N/A</v>
      </c>
    </row>
    <row r="30" spans="1:5" x14ac:dyDescent="0.35">
      <c r="A30" s="64" t="s">
        <v>89</v>
      </c>
      <c r="B30" s="64">
        <v>112974.96904934297</v>
      </c>
      <c r="D30" s="64" t="s">
        <v>89</v>
      </c>
      <c r="E30" s="64">
        <v>133143.564495247</v>
      </c>
    </row>
    <row r="31" spans="1:5" x14ac:dyDescent="0.35">
      <c r="A31" s="64" t="s">
        <v>90</v>
      </c>
      <c r="B31" s="64">
        <v>12763343631.700001</v>
      </c>
      <c r="D31" s="64" t="s">
        <v>90</v>
      </c>
      <c r="E31" s="64">
        <v>17727208766.5</v>
      </c>
    </row>
    <row r="32" spans="1:5" x14ac:dyDescent="0.35">
      <c r="A32" s="64" t="s">
        <v>91</v>
      </c>
      <c r="B32" s="64">
        <v>-2.8707521450489377</v>
      </c>
      <c r="D32" s="64" t="s">
        <v>91</v>
      </c>
      <c r="E32" s="64">
        <v>-1.8337116638169055</v>
      </c>
    </row>
    <row r="33" spans="1:5" x14ac:dyDescent="0.35">
      <c r="A33" s="64" t="s">
        <v>92</v>
      </c>
      <c r="B33" s="64">
        <v>-2.9206446285743687E-4</v>
      </c>
      <c r="D33" s="64" t="s">
        <v>92</v>
      </c>
      <c r="E33" s="64">
        <v>-0.10875505953751641</v>
      </c>
    </row>
    <row r="34" spans="1:5" x14ac:dyDescent="0.35">
      <c r="A34" s="64" t="s">
        <v>93</v>
      </c>
      <c r="B34" s="64">
        <v>242335</v>
      </c>
      <c r="D34" s="64" t="s">
        <v>93</v>
      </c>
      <c r="E34" s="64">
        <v>324371</v>
      </c>
    </row>
    <row r="35" spans="1:5" x14ac:dyDescent="0.35">
      <c r="A35" s="64" t="s">
        <v>94</v>
      </c>
      <c r="B35" s="64">
        <v>7487</v>
      </c>
      <c r="D35" s="64" t="s">
        <v>94</v>
      </c>
      <c r="E35" s="64">
        <v>10070</v>
      </c>
    </row>
    <row r="36" spans="1:5" x14ac:dyDescent="0.35">
      <c r="A36" s="64" t="s">
        <v>95</v>
      </c>
      <c r="B36" s="64">
        <v>249822</v>
      </c>
      <c r="D36" s="64" t="s">
        <v>95</v>
      </c>
      <c r="E36" s="64">
        <v>334441</v>
      </c>
    </row>
    <row r="37" spans="1:5" x14ac:dyDescent="0.35">
      <c r="A37" s="64" t="s">
        <v>96</v>
      </c>
      <c r="B37" s="64">
        <v>657046</v>
      </c>
      <c r="D37" s="64" t="s">
        <v>96</v>
      </c>
      <c r="E37" s="64">
        <v>868930</v>
      </c>
    </row>
    <row r="38" spans="1:5" x14ac:dyDescent="0.35">
      <c r="A38" s="64" t="s">
        <v>97</v>
      </c>
      <c r="B38" s="64">
        <v>5</v>
      </c>
      <c r="D38" s="64" t="s">
        <v>97</v>
      </c>
      <c r="E38" s="64">
        <v>5</v>
      </c>
    </row>
  </sheetData>
  <mergeCells count="3">
    <mergeCell ref="A1:F1"/>
    <mergeCell ref="A24:B24"/>
    <mergeCell ref="D24:E24"/>
  </mergeCells>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6FE4-2140-4A46-8C05-58A8F37800EB}">
  <sheetPr>
    <tabColor theme="9" tint="0.39997558519241921"/>
  </sheetPr>
  <dimension ref="A1:Z64"/>
  <sheetViews>
    <sheetView showGridLines="0" topLeftCell="K1" zoomScale="61" workbookViewId="0">
      <selection activeCell="H8" sqref="H8"/>
    </sheetView>
  </sheetViews>
  <sheetFormatPr defaultRowHeight="14.5" x14ac:dyDescent="0.35"/>
  <cols>
    <col min="1" max="1" width="22.54296875" customWidth="1"/>
    <col min="2" max="2" width="15.36328125" customWidth="1"/>
    <col min="3" max="3" width="11.36328125" customWidth="1"/>
    <col min="4" max="4" width="10.90625" customWidth="1"/>
    <col min="5" max="5" width="13.1796875" customWidth="1"/>
    <col min="6" max="7" width="12.6328125" customWidth="1"/>
    <col min="8" max="8" width="15.81640625" customWidth="1"/>
    <col min="9" max="9" width="15.7265625" customWidth="1"/>
    <col min="10" max="10" width="21.54296875" customWidth="1"/>
    <col min="12" max="12" width="18.1796875" customWidth="1"/>
    <col min="13" max="13" width="19.1796875" customWidth="1"/>
    <col min="14" max="14" width="19.1796875" bestFit="1" customWidth="1"/>
    <col min="15" max="15" width="13.26953125" customWidth="1"/>
    <col min="16" max="16" width="11.7265625" customWidth="1"/>
    <col min="17" max="17" width="15.453125" customWidth="1"/>
    <col min="18" max="18" width="15.90625" customWidth="1"/>
    <col min="19" max="19" width="13.1796875" bestFit="1" customWidth="1"/>
    <col min="20" max="20" width="15.90625" customWidth="1"/>
    <col min="22" max="22" width="16.08984375" customWidth="1"/>
    <col min="23" max="23" width="26.26953125" customWidth="1"/>
    <col min="24" max="24" width="10.08984375" customWidth="1"/>
    <col min="25" max="25" width="11.7265625" customWidth="1"/>
    <col min="26" max="26" width="21.54296875" customWidth="1"/>
    <col min="28" max="28" width="12" customWidth="1"/>
  </cols>
  <sheetData>
    <row r="1" spans="1:26" ht="33.5" customHeight="1" x14ac:dyDescent="0.35">
      <c r="A1" s="72" t="s">
        <v>26</v>
      </c>
      <c r="B1" s="73"/>
      <c r="C1" s="73"/>
      <c r="D1" s="73"/>
      <c r="E1" s="73"/>
      <c r="F1" s="73"/>
      <c r="G1" s="73"/>
      <c r="H1" s="73"/>
      <c r="I1" s="73"/>
      <c r="J1" s="73"/>
      <c r="L1" s="54" t="s">
        <v>6</v>
      </c>
      <c r="M1" s="55" t="s">
        <v>66</v>
      </c>
    </row>
    <row r="2" spans="1:26" ht="56" customHeight="1" x14ac:dyDescent="0.35">
      <c r="A2" s="18" t="s">
        <v>5</v>
      </c>
      <c r="B2" s="3" t="s">
        <v>6</v>
      </c>
      <c r="C2" s="3" t="s">
        <v>7</v>
      </c>
      <c r="D2" s="3" t="s">
        <v>8</v>
      </c>
      <c r="E2" s="3" t="s">
        <v>9</v>
      </c>
      <c r="F2" s="3" t="s">
        <v>10</v>
      </c>
      <c r="G2" s="3" t="s">
        <v>67</v>
      </c>
      <c r="H2" s="4" t="s">
        <v>23</v>
      </c>
      <c r="I2" s="4" t="s">
        <v>24</v>
      </c>
      <c r="J2" s="10" t="s">
        <v>25</v>
      </c>
      <c r="P2" s="60"/>
      <c r="Q2" s="59" t="s">
        <v>64</v>
      </c>
      <c r="R2" s="60"/>
      <c r="S2" s="60"/>
      <c r="T2" s="60"/>
      <c r="V2" s="59" t="s">
        <v>59</v>
      </c>
      <c r="W2" s="60" t="s">
        <v>68</v>
      </c>
      <c r="Y2" s="59" t="s">
        <v>59</v>
      </c>
      <c r="Z2" s="60" t="s">
        <v>69</v>
      </c>
    </row>
    <row r="3" spans="1:26" ht="15" customHeight="1" x14ac:dyDescent="0.35">
      <c r="A3" s="19" t="s">
        <v>11</v>
      </c>
      <c r="B3" s="13" t="s">
        <v>0</v>
      </c>
      <c r="C3" s="13" t="s">
        <v>2</v>
      </c>
      <c r="D3" s="13" t="s">
        <v>53</v>
      </c>
      <c r="E3" s="13">
        <v>54399</v>
      </c>
      <c r="F3" s="13">
        <v>896</v>
      </c>
      <c r="G3" s="43">
        <f>Table4[[#This Row],[Total ever married
women]]/Table4[[#This Row],[Total Women]]</f>
        <v>1.6470891009025899E-2</v>
      </c>
      <c r="H3" s="13">
        <v>405</v>
      </c>
      <c r="I3" s="13">
        <v>372</v>
      </c>
      <c r="J3" s="20">
        <f>SUM(Table4[[#This Row],[Total Number of Surviving Children Male]:[Total Number of Surviving Children Female]])</f>
        <v>777</v>
      </c>
      <c r="L3" s="57" t="s">
        <v>65</v>
      </c>
      <c r="M3" s="57" t="s">
        <v>64</v>
      </c>
      <c r="N3" s="56"/>
      <c r="P3" s="60"/>
      <c r="Q3" s="60" t="s">
        <v>0</v>
      </c>
      <c r="R3" s="60"/>
      <c r="S3" s="60" t="s">
        <v>1</v>
      </c>
      <c r="T3" s="60"/>
      <c r="V3" s="60" t="s">
        <v>0</v>
      </c>
      <c r="W3" s="60">
        <v>196346</v>
      </c>
      <c r="Y3" s="60" t="s">
        <v>0</v>
      </c>
      <c r="Z3" s="60">
        <v>531524</v>
      </c>
    </row>
    <row r="4" spans="1:26" ht="15" customHeight="1" x14ac:dyDescent="0.35">
      <c r="A4" s="19" t="s">
        <v>11</v>
      </c>
      <c r="B4" s="13" t="s">
        <v>0</v>
      </c>
      <c r="C4" s="13" t="s">
        <v>2</v>
      </c>
      <c r="D4" s="13" t="s">
        <v>54</v>
      </c>
      <c r="E4" s="13">
        <v>27681</v>
      </c>
      <c r="F4" s="13">
        <v>26695</v>
      </c>
      <c r="G4" s="43">
        <f>Table4[[#This Row],[Total ever married
women]]/Table4[[#This Row],[Total Women]]</f>
        <v>0.96437989957010228</v>
      </c>
      <c r="H4" s="13">
        <v>40684</v>
      </c>
      <c r="I4" s="13">
        <v>37870</v>
      </c>
      <c r="J4" s="20">
        <f>SUM(Table4[[#This Row],[Total Number of Surviving Children Male]:[Total Number of Surviving Children Female]])</f>
        <v>78554</v>
      </c>
      <c r="L4" s="57" t="s">
        <v>59</v>
      </c>
      <c r="M4" s="56" t="s">
        <v>2</v>
      </c>
      <c r="N4" s="56" t="s">
        <v>3</v>
      </c>
      <c r="P4" s="59" t="s">
        <v>59</v>
      </c>
      <c r="Q4" s="60" t="s">
        <v>65</v>
      </c>
      <c r="R4" s="60" t="s">
        <v>68</v>
      </c>
      <c r="S4" s="60" t="s">
        <v>65</v>
      </c>
      <c r="T4" s="60" t="s">
        <v>68</v>
      </c>
      <c r="V4" s="60" t="s">
        <v>1</v>
      </c>
      <c r="W4" s="60">
        <v>257090</v>
      </c>
      <c r="Y4" s="60" t="s">
        <v>1</v>
      </c>
      <c r="Z4" s="60">
        <v>577344</v>
      </c>
    </row>
    <row r="5" spans="1:26" ht="15" customHeight="1" x14ac:dyDescent="0.35">
      <c r="A5" s="19" t="s">
        <v>11</v>
      </c>
      <c r="B5" s="13" t="s">
        <v>0</v>
      </c>
      <c r="C5" s="13" t="s">
        <v>2</v>
      </c>
      <c r="D5" s="13" t="s">
        <v>55</v>
      </c>
      <c r="E5" s="13">
        <v>30645</v>
      </c>
      <c r="F5" s="13">
        <v>30527</v>
      </c>
      <c r="G5" s="43">
        <f>Table4[[#This Row],[Total ever married
women]]/Table4[[#This Row],[Total Women]]</f>
        <v>0.99614945341817585</v>
      </c>
      <c r="H5" s="13">
        <v>63347</v>
      </c>
      <c r="I5" s="13">
        <v>56251</v>
      </c>
      <c r="J5" s="20">
        <f>SUM(Table4[[#This Row],[Total Number of Surviving Children Male]:[Total Number of Surviving Children Female]])</f>
        <v>119598</v>
      </c>
      <c r="L5" s="56" t="s">
        <v>53</v>
      </c>
      <c r="M5" s="56">
        <v>107486</v>
      </c>
      <c r="N5" s="56">
        <v>187806</v>
      </c>
      <c r="P5" s="60" t="s">
        <v>53</v>
      </c>
      <c r="Q5" s="60">
        <v>145072</v>
      </c>
      <c r="R5" s="60">
        <v>4289</v>
      </c>
      <c r="S5" s="60">
        <v>150220</v>
      </c>
      <c r="T5" s="60">
        <v>4606</v>
      </c>
    </row>
    <row r="6" spans="1:26" ht="15" customHeight="1" x14ac:dyDescent="0.35">
      <c r="A6" s="19" t="s">
        <v>11</v>
      </c>
      <c r="B6" s="13" t="s">
        <v>0</v>
      </c>
      <c r="C6" s="13" t="s">
        <v>2</v>
      </c>
      <c r="D6" s="13" t="s">
        <v>56</v>
      </c>
      <c r="E6" s="13">
        <v>20294</v>
      </c>
      <c r="F6" s="13">
        <v>20165</v>
      </c>
      <c r="G6" s="43">
        <f>Table4[[#This Row],[Total ever married
women]]/Table4[[#This Row],[Total Women]]</f>
        <v>0.9936434414112546</v>
      </c>
      <c r="H6" s="13">
        <v>43198</v>
      </c>
      <c r="I6" s="13">
        <v>38054</v>
      </c>
      <c r="J6" s="20">
        <f>SUM(Table4[[#This Row],[Total Number of Surviving Children Male]:[Total Number of Surviving Children Female]])</f>
        <v>81252</v>
      </c>
      <c r="L6" s="56" t="s">
        <v>54</v>
      </c>
      <c r="M6" s="56">
        <v>47659</v>
      </c>
      <c r="N6" s="56">
        <v>235172</v>
      </c>
      <c r="P6" s="60" t="s">
        <v>54</v>
      </c>
      <c r="Q6" s="60">
        <v>122620</v>
      </c>
      <c r="R6" s="60">
        <v>100017</v>
      </c>
      <c r="S6" s="60">
        <v>160211</v>
      </c>
      <c r="T6" s="60">
        <v>124447</v>
      </c>
    </row>
    <row r="7" spans="1:26" ht="15" customHeight="1" x14ac:dyDescent="0.35">
      <c r="A7" s="19" t="s">
        <v>11</v>
      </c>
      <c r="B7" s="13" t="s">
        <v>0</v>
      </c>
      <c r="C7" s="13" t="s">
        <v>2</v>
      </c>
      <c r="D7" s="13" t="s">
        <v>4</v>
      </c>
      <c r="E7" s="13">
        <v>3072</v>
      </c>
      <c r="F7" s="13">
        <v>3032</v>
      </c>
      <c r="G7" s="43">
        <f>Table4[[#This Row],[Total ever married
women]]/Table4[[#This Row],[Total Women]]</f>
        <v>0.98697916666666663</v>
      </c>
      <c r="H7" s="13">
        <v>6338</v>
      </c>
      <c r="I7" s="13">
        <v>5648</v>
      </c>
      <c r="J7" s="20">
        <f>SUM(Table4[[#This Row],[Total Number of Surviving Children Male]:[Total Number of Surviving Children Female]])</f>
        <v>11986</v>
      </c>
      <c r="L7" s="56" t="s">
        <v>55</v>
      </c>
      <c r="M7" s="56">
        <v>52200</v>
      </c>
      <c r="N7" s="56">
        <v>101190</v>
      </c>
      <c r="P7" s="60" t="s">
        <v>55</v>
      </c>
      <c r="Q7" s="60">
        <v>62312</v>
      </c>
      <c r="R7" s="60">
        <v>61851</v>
      </c>
      <c r="S7" s="60">
        <v>91078</v>
      </c>
      <c r="T7" s="60">
        <v>89583</v>
      </c>
    </row>
    <row r="8" spans="1:26" ht="15" customHeight="1" x14ac:dyDescent="0.35">
      <c r="A8" s="21" t="s">
        <v>11</v>
      </c>
      <c r="B8" s="15" t="s">
        <v>0</v>
      </c>
      <c r="C8" s="15" t="s">
        <v>3</v>
      </c>
      <c r="D8" s="15" t="s">
        <v>53</v>
      </c>
      <c r="E8" s="15">
        <v>90673</v>
      </c>
      <c r="F8" s="15">
        <v>3393</v>
      </c>
      <c r="G8" s="44">
        <f>Table4[[#This Row],[Total ever married
women]]/Table4[[#This Row],[Total Women]]</f>
        <v>3.7420180208000177E-2</v>
      </c>
      <c r="H8" s="15">
        <v>593</v>
      </c>
      <c r="I8" s="15">
        <v>586</v>
      </c>
      <c r="J8" s="22">
        <f>SUM(Table4[[#This Row],[Total Number of Surviving Children Male]:[Total Number of Surviving Children Female]])</f>
        <v>1179</v>
      </c>
      <c r="L8" s="56" t="s">
        <v>56</v>
      </c>
      <c r="M8" s="56">
        <v>33282</v>
      </c>
      <c r="N8" s="56">
        <v>28013</v>
      </c>
      <c r="P8" s="60" t="s">
        <v>56</v>
      </c>
      <c r="Q8" s="60">
        <v>27093</v>
      </c>
      <c r="R8" s="60">
        <v>26520</v>
      </c>
      <c r="S8" s="60">
        <v>34202</v>
      </c>
      <c r="T8" s="60">
        <v>33369</v>
      </c>
    </row>
    <row r="9" spans="1:26" ht="15" customHeight="1" x14ac:dyDescent="0.35">
      <c r="A9" s="21" t="s">
        <v>11</v>
      </c>
      <c r="B9" s="15" t="s">
        <v>0</v>
      </c>
      <c r="C9" s="15" t="s">
        <v>3</v>
      </c>
      <c r="D9" s="15" t="s">
        <v>54</v>
      </c>
      <c r="E9" s="15">
        <v>94939</v>
      </c>
      <c r="F9" s="15">
        <v>73322</v>
      </c>
      <c r="G9" s="44">
        <f>Table4[[#This Row],[Total ever married
women]]/Table4[[#This Row],[Total Women]]</f>
        <v>0.77230642833819607</v>
      </c>
      <c r="H9" s="15">
        <v>66619</v>
      </c>
      <c r="I9" s="15">
        <v>60061</v>
      </c>
      <c r="J9" s="22">
        <f>SUM(Table4[[#This Row],[Total Number of Surviving Children Male]:[Total Number of Surviving Children Female]])</f>
        <v>126680</v>
      </c>
      <c r="L9" s="56" t="s">
        <v>4</v>
      </c>
      <c r="M9" s="56">
        <v>5831</v>
      </c>
      <c r="N9" s="56">
        <v>3320</v>
      </c>
      <c r="P9" s="60" t="s">
        <v>4</v>
      </c>
      <c r="Q9" s="60">
        <v>3807</v>
      </c>
      <c r="R9" s="60">
        <v>3669</v>
      </c>
      <c r="S9" s="60">
        <v>5344</v>
      </c>
      <c r="T9" s="60">
        <v>5085</v>
      </c>
    </row>
    <row r="10" spans="1:26" ht="15" customHeight="1" x14ac:dyDescent="0.35">
      <c r="A10" s="21" t="s">
        <v>11</v>
      </c>
      <c r="B10" s="15" t="s">
        <v>0</v>
      </c>
      <c r="C10" s="15" t="s">
        <v>3</v>
      </c>
      <c r="D10" s="15" t="s">
        <v>55</v>
      </c>
      <c r="E10" s="15">
        <v>31667</v>
      </c>
      <c r="F10" s="15">
        <v>31324</v>
      </c>
      <c r="G10" s="44">
        <f>Table4[[#This Row],[Total ever married
women]]/Table4[[#This Row],[Total Women]]</f>
        <v>0.98916853506805191</v>
      </c>
      <c r="H10" s="15">
        <v>46759</v>
      </c>
      <c r="I10" s="15">
        <v>41244</v>
      </c>
      <c r="J10" s="22">
        <f>SUM(Table4[[#This Row],[Total Number of Surviving Children Male]:[Total Number of Surviving Children Female]])</f>
        <v>88003</v>
      </c>
    </row>
    <row r="11" spans="1:26" ht="15" customHeight="1" x14ac:dyDescent="0.35">
      <c r="A11" s="21" t="s">
        <v>11</v>
      </c>
      <c r="B11" s="15" t="s">
        <v>0</v>
      </c>
      <c r="C11" s="15" t="s">
        <v>3</v>
      </c>
      <c r="D11" s="15" t="s">
        <v>56</v>
      </c>
      <c r="E11" s="15">
        <v>6799</v>
      </c>
      <c r="F11" s="15">
        <v>6355</v>
      </c>
      <c r="G11" s="44">
        <f>Table4[[#This Row],[Total ever married
women]]/Table4[[#This Row],[Total Women]]</f>
        <v>0.93469627886453888</v>
      </c>
      <c r="H11" s="15">
        <v>11348</v>
      </c>
      <c r="I11" s="15">
        <v>10171</v>
      </c>
      <c r="J11" s="22">
        <f>SUM(Table4[[#This Row],[Total Number of Surviving Children Male]:[Total Number of Surviving Children Female]])</f>
        <v>21519</v>
      </c>
    </row>
    <row r="12" spans="1:26" ht="15" customHeight="1" x14ac:dyDescent="0.35">
      <c r="A12" s="21" t="s">
        <v>11</v>
      </c>
      <c r="B12" s="15" t="s">
        <v>0</v>
      </c>
      <c r="C12" s="15" t="s">
        <v>3</v>
      </c>
      <c r="D12" s="15" t="s">
        <v>4</v>
      </c>
      <c r="E12" s="15">
        <v>735</v>
      </c>
      <c r="F12" s="15">
        <v>637</v>
      </c>
      <c r="G12" s="44">
        <f>Table4[[#This Row],[Total ever married
women]]/Table4[[#This Row],[Total Women]]</f>
        <v>0.8666666666666667</v>
      </c>
      <c r="H12" s="15">
        <v>1033</v>
      </c>
      <c r="I12" s="15">
        <v>943</v>
      </c>
      <c r="J12" s="22">
        <f>SUM(Table4[[#This Row],[Total Number of Surviving Children Male]:[Total Number of Surviving Children Female]])</f>
        <v>1976</v>
      </c>
    </row>
    <row r="13" spans="1:26" ht="15" customHeight="1" x14ac:dyDescent="0.35">
      <c r="A13" s="11" t="s">
        <v>11</v>
      </c>
      <c r="B13" s="6" t="s">
        <v>1</v>
      </c>
      <c r="C13" s="6" t="s">
        <v>2</v>
      </c>
      <c r="D13" s="6" t="s">
        <v>53</v>
      </c>
      <c r="E13" s="6">
        <v>53087</v>
      </c>
      <c r="F13" s="6">
        <v>662</v>
      </c>
      <c r="G13" s="45">
        <f>Table4[[#This Row],[Total ever married
women]]/Table4[[#This Row],[Total Women]]</f>
        <v>1.2470096257087422E-2</v>
      </c>
      <c r="H13" s="6">
        <v>274</v>
      </c>
      <c r="I13" s="6">
        <v>249</v>
      </c>
      <c r="J13" s="12">
        <f>SUM(Table4[[#This Row],[Total Number of Surviving Children Male]:[Total Number of Surviving Children Female]])</f>
        <v>523</v>
      </c>
    </row>
    <row r="14" spans="1:26" ht="15" customHeight="1" x14ac:dyDescent="0.35">
      <c r="A14" s="11" t="s">
        <v>11</v>
      </c>
      <c r="B14" s="6" t="s">
        <v>1</v>
      </c>
      <c r="C14" s="6" t="s">
        <v>2</v>
      </c>
      <c r="D14" s="6" t="s">
        <v>54</v>
      </c>
      <c r="E14" s="6">
        <v>19978</v>
      </c>
      <c r="F14" s="6">
        <v>18963</v>
      </c>
      <c r="G14" s="45">
        <f>Table4[[#This Row],[Total ever married
women]]/Table4[[#This Row],[Total Women]]</f>
        <v>0.94919411352487737</v>
      </c>
      <c r="H14" s="6">
        <v>26537</v>
      </c>
      <c r="I14" s="6">
        <v>23487</v>
      </c>
      <c r="J14" s="12">
        <f>SUM(Table4[[#This Row],[Total Number of Surviving Children Male]:[Total Number of Surviving Children Female]])</f>
        <v>50024</v>
      </c>
    </row>
    <row r="15" spans="1:26" ht="15" customHeight="1" x14ac:dyDescent="0.35">
      <c r="A15" s="11" t="s">
        <v>11</v>
      </c>
      <c r="B15" s="6" t="s">
        <v>1</v>
      </c>
      <c r="C15" s="6" t="s">
        <v>2</v>
      </c>
      <c r="D15" s="6" t="s">
        <v>55</v>
      </c>
      <c r="E15" s="6">
        <v>21555</v>
      </c>
      <c r="F15" s="6">
        <v>21327</v>
      </c>
      <c r="G15" s="45">
        <f>Table4[[#This Row],[Total ever married
women]]/Table4[[#This Row],[Total Women]]</f>
        <v>0.98942240779401536</v>
      </c>
      <c r="H15" s="6">
        <v>41128</v>
      </c>
      <c r="I15" s="6">
        <v>34964</v>
      </c>
      <c r="J15" s="12">
        <f>SUM(Table4[[#This Row],[Total Number of Surviving Children Male]:[Total Number of Surviving Children Female]])</f>
        <v>76092</v>
      </c>
    </row>
    <row r="16" spans="1:26" ht="15" customHeight="1" x14ac:dyDescent="0.35">
      <c r="A16" s="11" t="s">
        <v>11</v>
      </c>
      <c r="B16" s="6" t="s">
        <v>1</v>
      </c>
      <c r="C16" s="6" t="s">
        <v>2</v>
      </c>
      <c r="D16" s="6" t="s">
        <v>56</v>
      </c>
      <c r="E16" s="6">
        <v>12988</v>
      </c>
      <c r="F16" s="6">
        <v>12874</v>
      </c>
      <c r="G16" s="45">
        <f>Table4[[#This Row],[Total ever married
women]]/Table4[[#This Row],[Total Women]]</f>
        <v>0.99122266707730211</v>
      </c>
      <c r="H16" s="6">
        <v>26060</v>
      </c>
      <c r="I16" s="6">
        <v>22137</v>
      </c>
      <c r="J16" s="12">
        <f>SUM(Table4[[#This Row],[Total Number of Surviving Children Male]:[Total Number of Surviving Children Female]])</f>
        <v>48197</v>
      </c>
    </row>
    <row r="17" spans="1:10" ht="15" customHeight="1" x14ac:dyDescent="0.35">
      <c r="A17" s="11" t="s">
        <v>11</v>
      </c>
      <c r="B17" s="6" t="s">
        <v>1</v>
      </c>
      <c r="C17" s="6" t="s">
        <v>2</v>
      </c>
      <c r="D17" s="6" t="s">
        <v>4</v>
      </c>
      <c r="E17" s="6">
        <v>2759</v>
      </c>
      <c r="F17" s="6">
        <v>2697</v>
      </c>
      <c r="G17" s="45">
        <f>Table4[[#This Row],[Total ever married
women]]/Table4[[#This Row],[Total Women]]</f>
        <v>0.97752808988764039</v>
      </c>
      <c r="H17" s="6">
        <v>5260</v>
      </c>
      <c r="I17" s="6">
        <v>4631</v>
      </c>
      <c r="J17" s="12">
        <f>SUM(Table4[[#This Row],[Total Number of Surviving Children Male]:[Total Number of Surviving Children Female]])</f>
        <v>9891</v>
      </c>
    </row>
    <row r="18" spans="1:10" ht="15" customHeight="1" x14ac:dyDescent="0.35">
      <c r="A18" s="23" t="s">
        <v>11</v>
      </c>
      <c r="B18" s="16" t="s">
        <v>1</v>
      </c>
      <c r="C18" s="16" t="s">
        <v>3</v>
      </c>
      <c r="D18" s="17" t="s">
        <v>53</v>
      </c>
      <c r="E18" s="17">
        <v>97133</v>
      </c>
      <c r="F18" s="17">
        <v>3944</v>
      </c>
      <c r="G18" s="46">
        <f>Table4[[#This Row],[Total ever married
women]]/Table4[[#This Row],[Total Women]]</f>
        <v>4.0604120123953757E-2</v>
      </c>
      <c r="H18" s="17">
        <v>679</v>
      </c>
      <c r="I18" s="17">
        <v>588</v>
      </c>
      <c r="J18" s="24">
        <f>SUM(Table4[[#This Row],[Total Number of Surviving Children Male]:[Total Number of Surviving Children Female]])</f>
        <v>1267</v>
      </c>
    </row>
    <row r="19" spans="1:10" ht="15" customHeight="1" x14ac:dyDescent="0.35">
      <c r="A19" s="23" t="s">
        <v>11</v>
      </c>
      <c r="B19" s="16" t="s">
        <v>1</v>
      </c>
      <c r="C19" s="16" t="s">
        <v>3</v>
      </c>
      <c r="D19" s="17" t="s">
        <v>54</v>
      </c>
      <c r="E19" s="17">
        <v>140233</v>
      </c>
      <c r="F19" s="17">
        <v>105484</v>
      </c>
      <c r="G19" s="46">
        <f>Table4[[#This Row],[Total ever married
women]]/Table4[[#This Row],[Total Women]]</f>
        <v>0.75220525839139152</v>
      </c>
      <c r="H19" s="17">
        <v>87459</v>
      </c>
      <c r="I19" s="17">
        <v>76619</v>
      </c>
      <c r="J19" s="24">
        <f>SUM(Table4[[#This Row],[Total Number of Surviving Children Male]:[Total Number of Surviving Children Female]])</f>
        <v>164078</v>
      </c>
    </row>
    <row r="20" spans="1:10" ht="15" customHeight="1" x14ac:dyDescent="0.35">
      <c r="A20" s="23" t="s">
        <v>11</v>
      </c>
      <c r="B20" s="16" t="s">
        <v>1</v>
      </c>
      <c r="C20" s="16" t="s">
        <v>3</v>
      </c>
      <c r="D20" s="17" t="s">
        <v>55</v>
      </c>
      <c r="E20" s="17">
        <v>69523</v>
      </c>
      <c r="F20" s="17">
        <v>68256</v>
      </c>
      <c r="G20" s="46">
        <f>Table4[[#This Row],[Total ever married
women]]/Table4[[#This Row],[Total Women]]</f>
        <v>0.98177581519784818</v>
      </c>
      <c r="H20" s="17">
        <v>89454</v>
      </c>
      <c r="I20" s="17">
        <v>77443</v>
      </c>
      <c r="J20" s="24">
        <f>SUM(Table4[[#This Row],[Total Number of Surviving Children Male]:[Total Number of Surviving Children Female]])</f>
        <v>166897</v>
      </c>
    </row>
    <row r="21" spans="1:10" ht="15" customHeight="1" x14ac:dyDescent="0.35">
      <c r="A21" s="23" t="s">
        <v>11</v>
      </c>
      <c r="B21" s="16" t="s">
        <v>1</v>
      </c>
      <c r="C21" s="16" t="s">
        <v>3</v>
      </c>
      <c r="D21" s="16" t="s">
        <v>56</v>
      </c>
      <c r="E21" s="16">
        <v>21214</v>
      </c>
      <c r="F21" s="16">
        <v>20495</v>
      </c>
      <c r="G21" s="46">
        <f>Table4[[#This Row],[Total ever married
women]]/Table4[[#This Row],[Total Women]]</f>
        <v>0.96610728764023757</v>
      </c>
      <c r="H21" s="16">
        <v>31881</v>
      </c>
      <c r="I21" s="16">
        <v>28494</v>
      </c>
      <c r="J21" s="24">
        <f>SUM(Table4[[#This Row],[Total Number of Surviving Children Male]:[Total Number of Surviving Children Female]])</f>
        <v>60375</v>
      </c>
    </row>
    <row r="22" spans="1:10" ht="15" customHeight="1" thickBot="1" x14ac:dyDescent="0.4">
      <c r="A22" s="25" t="s">
        <v>11</v>
      </c>
      <c r="B22" s="26" t="s">
        <v>1</v>
      </c>
      <c r="C22" s="26" t="s">
        <v>3</v>
      </c>
      <c r="D22" s="26" t="s">
        <v>4</v>
      </c>
      <c r="E22" s="26">
        <v>2585</v>
      </c>
      <c r="F22" s="26">
        <v>2388</v>
      </c>
      <c r="G22" s="46">
        <f>Table4[[#This Row],[Total ever married
women]]/Table4[[#This Row],[Total Women]]</f>
        <v>0.9237911025145068</v>
      </c>
      <c r="H22" s="26">
        <v>4007</v>
      </c>
      <c r="I22" s="26">
        <v>3607</v>
      </c>
      <c r="J22" s="27">
        <f>SUM(Table4[[#This Row],[Total Number of Surviving Children Male]:[Total Number of Surviving Children Female]])</f>
        <v>7614</v>
      </c>
    </row>
    <row r="23" spans="1:10" ht="15" customHeight="1" x14ac:dyDescent="0.35"/>
    <row r="24" spans="1:10" ht="15" customHeight="1" x14ac:dyDescent="0.35">
      <c r="A24" s="63"/>
      <c r="B24" s="63"/>
    </row>
    <row r="25" spans="1:10" ht="15" customHeight="1" x14ac:dyDescent="0.35">
      <c r="A25" s="58"/>
      <c r="B25" s="58"/>
    </row>
    <row r="26" spans="1:10" ht="15" customHeight="1" x14ac:dyDescent="0.35">
      <c r="A26" s="58"/>
      <c r="B26" s="58"/>
    </row>
    <row r="27" spans="1:10" ht="15" customHeight="1" x14ac:dyDescent="0.35">
      <c r="A27" s="58"/>
      <c r="B27" s="58"/>
    </row>
    <row r="28" spans="1:10" ht="15" customHeight="1" x14ac:dyDescent="0.35">
      <c r="A28" s="58"/>
      <c r="B28" s="58"/>
    </row>
    <row r="29" spans="1:10" ht="15" customHeight="1" x14ac:dyDescent="0.35">
      <c r="A29" s="58"/>
      <c r="B29" s="58"/>
    </row>
    <row r="30" spans="1:10" ht="15" customHeight="1" x14ac:dyDescent="0.35">
      <c r="A30" s="58"/>
      <c r="B30" s="58"/>
    </row>
    <row r="31" spans="1:10" ht="15" customHeight="1" x14ac:dyDescent="0.35">
      <c r="A31" s="58"/>
      <c r="B31" s="58"/>
    </row>
    <row r="32" spans="1:10" ht="15" customHeight="1" x14ac:dyDescent="0.35">
      <c r="A32" s="58"/>
      <c r="B32" s="58"/>
    </row>
    <row r="33" spans="1:2" ht="15" customHeight="1" x14ac:dyDescent="0.35">
      <c r="A33" s="58"/>
      <c r="B33" s="58"/>
    </row>
    <row r="34" spans="1:2" ht="15" customHeight="1" x14ac:dyDescent="0.35">
      <c r="A34" s="58"/>
      <c r="B34" s="58"/>
    </row>
    <row r="35" spans="1:2" ht="15" customHeight="1" x14ac:dyDescent="0.35">
      <c r="A35" s="58"/>
      <c r="B35" s="58"/>
    </row>
    <row r="36" spans="1:2" ht="15" customHeight="1" x14ac:dyDescent="0.35">
      <c r="A36" s="58"/>
      <c r="B36" s="58"/>
    </row>
    <row r="37" spans="1:2" ht="15" customHeight="1" x14ac:dyDescent="0.35">
      <c r="A37" s="58"/>
      <c r="B37" s="58"/>
    </row>
    <row r="38" spans="1:2" ht="15" customHeight="1" x14ac:dyDescent="0.35">
      <c r="A38" s="58"/>
      <c r="B38" s="58"/>
    </row>
    <row r="39" spans="1:2" ht="15" customHeight="1" x14ac:dyDescent="0.35"/>
    <row r="40" spans="1:2" ht="15" customHeight="1" x14ac:dyDescent="0.35"/>
    <row r="41" spans="1:2" ht="15" customHeight="1" x14ac:dyDescent="0.35"/>
    <row r="42" spans="1:2" ht="15" customHeight="1" x14ac:dyDescent="0.35"/>
    <row r="43" spans="1:2" ht="15" customHeight="1" x14ac:dyDescent="0.35"/>
    <row r="44" spans="1:2" ht="15" customHeight="1" x14ac:dyDescent="0.35"/>
    <row r="45" spans="1:2" ht="15" customHeight="1" x14ac:dyDescent="0.35"/>
    <row r="46" spans="1:2" ht="15" customHeight="1" x14ac:dyDescent="0.35"/>
    <row r="47" spans="1:2" ht="15" customHeight="1" x14ac:dyDescent="0.35"/>
    <row r="48" spans="1:2"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sheetData>
  <mergeCells count="1">
    <mergeCell ref="A1:J1"/>
  </mergeCells>
  <pageMargins left="0.7" right="0.7" top="0.75" bottom="0.75" header="0.3" footer="0.3"/>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8A63-E36C-440D-8BFF-D64742C7DB22}">
  <sheetPr>
    <tabColor theme="7" tint="0.39997558519241921"/>
  </sheetPr>
  <dimension ref="A1:T44"/>
  <sheetViews>
    <sheetView showGridLines="0" topLeftCell="F1" zoomScale="63" workbookViewId="0">
      <selection activeCell="Q34" sqref="Q34"/>
    </sheetView>
  </sheetViews>
  <sheetFormatPr defaultRowHeight="14.5" x14ac:dyDescent="0.35"/>
  <cols>
    <col min="1" max="1" width="20.36328125" bestFit="1" customWidth="1"/>
    <col min="2" max="2" width="14.453125" customWidth="1"/>
    <col min="3" max="3" width="15.7265625" customWidth="1"/>
    <col min="4" max="4" width="15.26953125" customWidth="1"/>
    <col min="5" max="5" width="18.7265625" customWidth="1"/>
    <col min="6" max="6" width="15.453125" customWidth="1"/>
    <col min="7" max="7" width="17.6328125" customWidth="1"/>
    <col min="8" max="8" width="13.08984375" bestFit="1" customWidth="1"/>
    <col min="9" max="9" width="20.36328125" bestFit="1" customWidth="1"/>
    <col min="10" max="10" width="23.7265625" customWidth="1"/>
    <col min="11" max="11" width="7.26953125" bestFit="1" customWidth="1"/>
    <col min="12" max="12" width="15.453125" bestFit="1" customWidth="1"/>
    <col min="13" max="13" width="21.26953125" bestFit="1" customWidth="1"/>
    <col min="14" max="14" width="20.26953125" bestFit="1" customWidth="1"/>
    <col min="16" max="16" width="16.7265625" customWidth="1"/>
    <col min="17" max="17" width="21.90625" customWidth="1"/>
    <col min="19" max="19" width="20.08984375" customWidth="1"/>
    <col min="20" max="20" width="24.7265625" customWidth="1"/>
  </cols>
  <sheetData>
    <row r="1" spans="1:20" ht="20.5" customHeight="1" x14ac:dyDescent="0.35">
      <c r="A1" s="74" t="s">
        <v>51</v>
      </c>
      <c r="B1" s="74"/>
      <c r="C1" s="74"/>
      <c r="D1" s="74"/>
      <c r="E1" s="74"/>
      <c r="F1" s="74"/>
      <c r="G1" s="74"/>
    </row>
    <row r="2" spans="1:20" ht="71" customHeight="1" x14ac:dyDescent="0.35">
      <c r="A2" s="1" t="s">
        <v>5</v>
      </c>
      <c r="B2" s="2" t="s">
        <v>6</v>
      </c>
      <c r="C2" s="3" t="s">
        <v>13</v>
      </c>
      <c r="D2" s="3" t="s">
        <v>70</v>
      </c>
      <c r="E2" s="3" t="s">
        <v>73</v>
      </c>
      <c r="F2" s="3" t="s">
        <v>74</v>
      </c>
      <c r="G2" s="3" t="s">
        <v>75</v>
      </c>
      <c r="I2" s="59" t="s">
        <v>76</v>
      </c>
      <c r="J2" s="59" t="s">
        <v>64</v>
      </c>
      <c r="K2" s="60"/>
      <c r="M2" s="59" t="s">
        <v>59</v>
      </c>
      <c r="N2" s="60" t="s">
        <v>77</v>
      </c>
      <c r="P2" s="59" t="s">
        <v>59</v>
      </c>
      <c r="Q2" s="60" t="s">
        <v>77</v>
      </c>
      <c r="S2" s="59" t="s">
        <v>59</v>
      </c>
      <c r="T2" s="60" t="s">
        <v>77</v>
      </c>
    </row>
    <row r="3" spans="1:20" ht="15" customHeight="1" x14ac:dyDescent="0.35">
      <c r="A3" s="15" t="s">
        <v>11</v>
      </c>
      <c r="B3" s="14" t="s">
        <v>0</v>
      </c>
      <c r="C3" s="15" t="s">
        <v>58</v>
      </c>
      <c r="D3" s="15" t="s">
        <v>71</v>
      </c>
      <c r="E3" s="15">
        <v>201960</v>
      </c>
      <c r="F3" s="15">
        <v>119594</v>
      </c>
      <c r="G3" s="50">
        <f>Table6[[#This Row],[Attending]]/Table6[[#This Row],[Population]]</f>
        <v>0.59216676569617743</v>
      </c>
      <c r="I3" s="59" t="s">
        <v>59</v>
      </c>
      <c r="J3" s="60" t="s">
        <v>72</v>
      </c>
      <c r="K3" s="60" t="s">
        <v>71</v>
      </c>
      <c r="M3" s="60" t="s">
        <v>0</v>
      </c>
      <c r="N3" s="61">
        <v>0.20444580805260934</v>
      </c>
      <c r="P3" s="60" t="s">
        <v>72</v>
      </c>
      <c r="Q3" s="61">
        <v>0.21090655715687465</v>
      </c>
      <c r="S3" s="60" t="s">
        <v>58</v>
      </c>
      <c r="T3" s="61">
        <v>0.60016048543349387</v>
      </c>
    </row>
    <row r="4" spans="1:20" ht="15" customHeight="1" x14ac:dyDescent="0.35">
      <c r="A4" s="15" t="s">
        <v>11</v>
      </c>
      <c r="B4" s="14" t="s">
        <v>0</v>
      </c>
      <c r="C4" s="15" t="s">
        <v>58</v>
      </c>
      <c r="D4" s="15" t="s">
        <v>72</v>
      </c>
      <c r="E4" s="15">
        <v>182960</v>
      </c>
      <c r="F4" s="15">
        <v>104298</v>
      </c>
      <c r="G4" s="47">
        <f>Table6[[#This Row],[Attending]]/Table6[[#This Row],[Population]]</f>
        <v>0.57005902929602104</v>
      </c>
      <c r="I4" s="60" t="s">
        <v>0</v>
      </c>
      <c r="J4" s="61">
        <v>0.59947874198752638</v>
      </c>
      <c r="K4" s="61">
        <v>0.62719610632812983</v>
      </c>
      <c r="M4" s="60" t="s">
        <v>1</v>
      </c>
      <c r="N4" s="61">
        <v>0.22356254923263555</v>
      </c>
      <c r="P4" s="60" t="s">
        <v>71</v>
      </c>
      <c r="Q4" s="61">
        <v>0.21710180012837033</v>
      </c>
      <c r="S4" s="60" t="s">
        <v>57</v>
      </c>
      <c r="T4" s="61">
        <v>2.863174053649711E-2</v>
      </c>
    </row>
    <row r="5" spans="1:20" ht="15" customHeight="1" x14ac:dyDescent="0.35">
      <c r="A5" s="15" t="s">
        <v>11</v>
      </c>
      <c r="B5" s="14" t="s">
        <v>0</v>
      </c>
      <c r="C5" s="15" t="s">
        <v>57</v>
      </c>
      <c r="D5" s="15" t="s">
        <v>71</v>
      </c>
      <c r="E5" s="15">
        <v>154927</v>
      </c>
      <c r="F5" s="15">
        <v>4015</v>
      </c>
      <c r="G5" s="47">
        <f>Table6[[#This Row],[Attending]]/Table6[[#This Row],[Population]]</f>
        <v>2.5915431138536213E-2</v>
      </c>
      <c r="I5" s="60" t="s">
        <v>1</v>
      </c>
      <c r="J5" s="61">
        <v>0.66596060095372145</v>
      </c>
      <c r="K5" s="61">
        <v>0.67541469444209201</v>
      </c>
      <c r="M5" s="60" t="s">
        <v>60</v>
      </c>
      <c r="N5" s="61">
        <v>0.21400417864262244</v>
      </c>
      <c r="P5" s="60" t="s">
        <v>60</v>
      </c>
      <c r="Q5" s="61">
        <v>0.21400417864262247</v>
      </c>
      <c r="S5" s="60" t="s">
        <v>12</v>
      </c>
      <c r="T5" s="61">
        <v>1.3220309957876436E-2</v>
      </c>
    </row>
    <row r="6" spans="1:20" ht="15" customHeight="1" x14ac:dyDescent="0.35">
      <c r="A6" s="15" t="s">
        <v>11</v>
      </c>
      <c r="B6" s="14" t="s">
        <v>0</v>
      </c>
      <c r="C6" s="15" t="s">
        <v>57</v>
      </c>
      <c r="D6" s="15" t="s">
        <v>72</v>
      </c>
      <c r="E6" s="15">
        <v>147044</v>
      </c>
      <c r="F6" s="15">
        <v>2827</v>
      </c>
      <c r="G6" s="47">
        <f>Table6[[#This Row],[Attending]]/Table6[[#This Row],[Population]]</f>
        <v>1.9225537934223769E-2</v>
      </c>
      <c r="S6" s="60" t="s">
        <v>60</v>
      </c>
      <c r="T6" s="61">
        <v>0.21400417864262247</v>
      </c>
    </row>
    <row r="7" spans="1:20" ht="15" customHeight="1" x14ac:dyDescent="0.35">
      <c r="A7" s="15" t="s">
        <v>11</v>
      </c>
      <c r="B7" s="14" t="s">
        <v>0</v>
      </c>
      <c r="C7" s="15" t="s">
        <v>12</v>
      </c>
      <c r="D7" s="15" t="s">
        <v>71</v>
      </c>
      <c r="E7" s="15">
        <v>34782</v>
      </c>
      <c r="F7" s="15">
        <v>317</v>
      </c>
      <c r="G7" s="47">
        <f>Table6[[#This Row],[Attending]]/Table6[[#This Row],[Population]]</f>
        <v>9.1139094934161342E-3</v>
      </c>
    </row>
    <row r="8" spans="1:20" ht="15" customHeight="1" x14ac:dyDescent="0.35">
      <c r="A8" s="15" t="s">
        <v>11</v>
      </c>
      <c r="B8" s="14" t="s">
        <v>0</v>
      </c>
      <c r="C8" s="15" t="s">
        <v>12</v>
      </c>
      <c r="D8" s="15" t="s">
        <v>72</v>
      </c>
      <c r="E8" s="15">
        <v>30900</v>
      </c>
      <c r="F8" s="15">
        <v>315</v>
      </c>
      <c r="G8" s="47">
        <f>Table6[[#This Row],[Attending]]/Table6[[#This Row],[Population]]</f>
        <v>1.0194174757281554E-2</v>
      </c>
    </row>
    <row r="9" spans="1:20" ht="15" customHeight="1" x14ac:dyDescent="0.35">
      <c r="A9" s="29" t="s">
        <v>11</v>
      </c>
      <c r="B9" s="28" t="s">
        <v>1</v>
      </c>
      <c r="C9" s="8" t="s">
        <v>58</v>
      </c>
      <c r="D9" s="29" t="s">
        <v>71</v>
      </c>
      <c r="E9" s="8">
        <v>232330</v>
      </c>
      <c r="F9" s="8">
        <v>143963</v>
      </c>
      <c r="G9" s="48">
        <f>Table6[[#This Row],[Attending]]/Table6[[#This Row],[Population]]</f>
        <v>0.61964877544871522</v>
      </c>
    </row>
    <row r="10" spans="1:20" ht="15" customHeight="1" x14ac:dyDescent="0.35">
      <c r="A10" s="29" t="s">
        <v>11</v>
      </c>
      <c r="B10" s="28" t="s">
        <v>1</v>
      </c>
      <c r="C10" s="8" t="s">
        <v>58</v>
      </c>
      <c r="D10" s="29" t="s">
        <v>72</v>
      </c>
      <c r="E10" s="8">
        <v>196085</v>
      </c>
      <c r="F10" s="8">
        <v>121331</v>
      </c>
      <c r="G10" s="48">
        <f>Table6[[#This Row],[Attending]]/Table6[[#This Row],[Population]]</f>
        <v>0.6187673712930617</v>
      </c>
    </row>
    <row r="11" spans="1:20" ht="15" customHeight="1" x14ac:dyDescent="0.35">
      <c r="A11" s="29" t="s">
        <v>11</v>
      </c>
      <c r="B11" s="28" t="s">
        <v>1</v>
      </c>
      <c r="C11" s="29" t="s">
        <v>57</v>
      </c>
      <c r="D11" s="29" t="s">
        <v>71</v>
      </c>
      <c r="E11" s="29">
        <v>222238</v>
      </c>
      <c r="F11" s="29">
        <v>8214</v>
      </c>
      <c r="G11" s="48">
        <f>Table6[[#This Row],[Attending]]/Table6[[#This Row],[Population]]</f>
        <v>3.6960375813317257E-2</v>
      </c>
    </row>
    <row r="12" spans="1:20" ht="15" customHeight="1" x14ac:dyDescent="0.35">
      <c r="A12" s="29" t="s">
        <v>11</v>
      </c>
      <c r="B12" s="28" t="s">
        <v>1</v>
      </c>
      <c r="C12" s="29" t="s">
        <v>57</v>
      </c>
      <c r="D12" s="29" t="s">
        <v>72</v>
      </c>
      <c r="E12" s="29">
        <v>205424</v>
      </c>
      <c r="F12" s="29">
        <v>6661</v>
      </c>
      <c r="G12" s="48">
        <f>Table6[[#This Row],[Attending]]/Table6[[#This Row],[Population]]</f>
        <v>3.2425617259911207E-2</v>
      </c>
    </row>
    <row r="13" spans="1:20" ht="15" customHeight="1" x14ac:dyDescent="0.35">
      <c r="A13" s="29" t="s">
        <v>11</v>
      </c>
      <c r="B13" s="28" t="s">
        <v>1</v>
      </c>
      <c r="C13" s="29" t="s">
        <v>12</v>
      </c>
      <c r="D13" s="29" t="s">
        <v>71</v>
      </c>
      <c r="E13" s="29">
        <v>42647</v>
      </c>
      <c r="F13" s="29">
        <v>802</v>
      </c>
      <c r="G13" s="48">
        <f>Table6[[#This Row],[Attending]]/Table6[[#This Row],[Population]]</f>
        <v>1.8805543180059558E-2</v>
      </c>
    </row>
    <row r="14" spans="1:20" ht="15" customHeight="1" x14ac:dyDescent="0.35">
      <c r="A14" s="29" t="s">
        <v>11</v>
      </c>
      <c r="B14" s="28" t="s">
        <v>1</v>
      </c>
      <c r="C14" s="29" t="s">
        <v>12</v>
      </c>
      <c r="D14" s="29" t="s">
        <v>72</v>
      </c>
      <c r="E14" s="29">
        <v>39546</v>
      </c>
      <c r="F14" s="29">
        <v>584</v>
      </c>
      <c r="G14" s="49">
        <f>Table6[[#This Row],[Attending]]/Table6[[#This Row],[Population]]</f>
        <v>1.4767612400748495E-2</v>
      </c>
    </row>
    <row r="18" spans="1:13" ht="39" x14ac:dyDescent="0.35">
      <c r="A18" s="1" t="s">
        <v>6</v>
      </c>
      <c r="B18" s="1" t="s">
        <v>13</v>
      </c>
      <c r="C18" s="1" t="s">
        <v>99</v>
      </c>
      <c r="D18" s="1" t="s">
        <v>98</v>
      </c>
    </row>
    <row r="19" spans="1:13" x14ac:dyDescent="0.35">
      <c r="A19" s="15" t="s">
        <v>0</v>
      </c>
      <c r="B19" s="15" t="s">
        <v>58</v>
      </c>
      <c r="C19" s="15">
        <v>119594</v>
      </c>
      <c r="D19" s="15">
        <v>104298</v>
      </c>
    </row>
    <row r="20" spans="1:13" x14ac:dyDescent="0.35">
      <c r="A20" s="15" t="s">
        <v>0</v>
      </c>
      <c r="B20" s="15" t="s">
        <v>57</v>
      </c>
      <c r="C20" s="15">
        <v>4015</v>
      </c>
      <c r="D20" s="15">
        <v>2827</v>
      </c>
    </row>
    <row r="21" spans="1:13" x14ac:dyDescent="0.35">
      <c r="A21" s="15" t="s">
        <v>0</v>
      </c>
      <c r="B21" s="15" t="s">
        <v>12</v>
      </c>
      <c r="C21" s="15">
        <v>317</v>
      </c>
      <c r="D21" s="15">
        <v>315</v>
      </c>
    </row>
    <row r="22" spans="1:13" x14ac:dyDescent="0.35">
      <c r="A22" s="29" t="s">
        <v>1</v>
      </c>
      <c r="B22" s="8" t="s">
        <v>58</v>
      </c>
      <c r="C22" s="8">
        <v>143963</v>
      </c>
      <c r="D22" s="8">
        <v>121331</v>
      </c>
    </row>
    <row r="23" spans="1:13" x14ac:dyDescent="0.35">
      <c r="A23" s="29" t="s">
        <v>1</v>
      </c>
      <c r="B23" s="29" t="s">
        <v>57</v>
      </c>
      <c r="C23" s="29">
        <v>8214</v>
      </c>
      <c r="D23" s="29">
        <v>6661</v>
      </c>
    </row>
    <row r="24" spans="1:13" x14ac:dyDescent="0.35">
      <c r="A24" s="29" t="s">
        <v>1</v>
      </c>
      <c r="B24" s="29" t="s">
        <v>12</v>
      </c>
      <c r="C24" s="29">
        <v>802</v>
      </c>
      <c r="D24" s="8">
        <v>584</v>
      </c>
    </row>
    <row r="26" spans="1:13" x14ac:dyDescent="0.35">
      <c r="A26" s="75" t="s">
        <v>99</v>
      </c>
      <c r="B26" s="76"/>
      <c r="D26" s="77" t="s">
        <v>98</v>
      </c>
      <c r="E26" s="78"/>
    </row>
    <row r="27" spans="1:13" x14ac:dyDescent="0.35">
      <c r="A27" s="66"/>
      <c r="B27" s="66"/>
      <c r="D27" s="65"/>
      <c r="E27" s="65"/>
    </row>
    <row r="28" spans="1:13" x14ac:dyDescent="0.35">
      <c r="A28" s="66" t="s">
        <v>85</v>
      </c>
      <c r="B28" s="66">
        <v>46150.833333333336</v>
      </c>
      <c r="D28" s="65" t="s">
        <v>85</v>
      </c>
      <c r="E28" s="65">
        <v>39336</v>
      </c>
    </row>
    <row r="29" spans="1:13" x14ac:dyDescent="0.35">
      <c r="A29" s="66" t="s">
        <v>86</v>
      </c>
      <c r="B29" s="66">
        <v>27284.310152438247</v>
      </c>
      <c r="D29" s="65" t="s">
        <v>86</v>
      </c>
      <c r="E29" s="65">
        <v>23358.196363018556</v>
      </c>
    </row>
    <row r="30" spans="1:13" x14ac:dyDescent="0.35">
      <c r="A30" s="66" t="s">
        <v>87</v>
      </c>
      <c r="B30" s="66">
        <v>6114.5</v>
      </c>
      <c r="D30" s="65" t="s">
        <v>87</v>
      </c>
      <c r="E30" s="65">
        <v>4744</v>
      </c>
    </row>
    <row r="31" spans="1:13" x14ac:dyDescent="0.35">
      <c r="A31" s="66" t="s">
        <v>88</v>
      </c>
      <c r="B31" s="66" t="e">
        <v>#N/A</v>
      </c>
      <c r="D31" s="65" t="s">
        <v>88</v>
      </c>
      <c r="E31" s="65" t="e">
        <v>#N/A</v>
      </c>
    </row>
    <row r="32" spans="1:13" x14ac:dyDescent="0.35">
      <c r="A32" s="66" t="s">
        <v>89</v>
      </c>
      <c r="B32" s="66">
        <v>66832.637857312409</v>
      </c>
      <c r="D32" s="65" t="s">
        <v>89</v>
      </c>
      <c r="E32" s="65">
        <v>57215.662401129288</v>
      </c>
      <c r="H32" s="51"/>
      <c r="I32" s="51"/>
      <c r="J32" s="51"/>
      <c r="K32" s="51"/>
      <c r="L32" s="51"/>
      <c r="M32" s="51"/>
    </row>
    <row r="33" spans="1:13" x14ac:dyDescent="0.35">
      <c r="A33" s="66" t="s">
        <v>90</v>
      </c>
      <c r="B33" s="66">
        <v>4466601482.9666672</v>
      </c>
      <c r="D33" s="65" t="s">
        <v>90</v>
      </c>
      <c r="E33" s="65">
        <v>3273632024</v>
      </c>
      <c r="H33" s="52"/>
      <c r="I33" s="52"/>
      <c r="J33" s="52"/>
      <c r="K33" s="52"/>
      <c r="L33" s="52"/>
      <c r="M33" s="52"/>
    </row>
    <row r="34" spans="1:13" x14ac:dyDescent="0.35">
      <c r="A34" s="66" t="s">
        <v>91</v>
      </c>
      <c r="B34" s="66">
        <v>-1.5311193265049035</v>
      </c>
      <c r="D34" s="65" t="s">
        <v>91</v>
      </c>
      <c r="E34" s="65">
        <v>-1.6450114666179187</v>
      </c>
      <c r="H34" s="52"/>
      <c r="I34" s="52"/>
      <c r="J34" s="52"/>
      <c r="K34" s="52"/>
      <c r="L34" s="52"/>
      <c r="M34" s="52"/>
    </row>
    <row r="35" spans="1:13" x14ac:dyDescent="0.35">
      <c r="A35" s="66" t="s">
        <v>92</v>
      </c>
      <c r="B35" s="66">
        <v>1.0180219546910148</v>
      </c>
      <c r="D35" s="65" t="s">
        <v>92</v>
      </c>
      <c r="E35" s="65">
        <v>0.99985453275641101</v>
      </c>
      <c r="H35" s="52"/>
      <c r="I35" s="52"/>
      <c r="J35" s="52"/>
      <c r="K35" s="52"/>
      <c r="L35" s="52"/>
      <c r="M35" s="52"/>
    </row>
    <row r="36" spans="1:13" x14ac:dyDescent="0.35">
      <c r="A36" s="66" t="s">
        <v>93</v>
      </c>
      <c r="B36" s="66">
        <v>143646</v>
      </c>
      <c r="D36" s="65" t="s">
        <v>93</v>
      </c>
      <c r="E36" s="65">
        <v>121016</v>
      </c>
      <c r="H36" s="52"/>
      <c r="I36" s="52"/>
      <c r="J36" s="52"/>
      <c r="K36" s="52"/>
      <c r="L36" s="52"/>
      <c r="M36" s="52"/>
    </row>
    <row r="37" spans="1:13" x14ac:dyDescent="0.35">
      <c r="A37" s="66" t="s">
        <v>94</v>
      </c>
      <c r="B37" s="66">
        <v>317</v>
      </c>
      <c r="D37" s="65" t="s">
        <v>94</v>
      </c>
      <c r="E37" s="65">
        <v>315</v>
      </c>
      <c r="H37" s="52"/>
      <c r="I37" s="52"/>
      <c r="J37" s="52"/>
      <c r="K37" s="52"/>
      <c r="L37" s="52"/>
      <c r="M37" s="52"/>
    </row>
    <row r="38" spans="1:13" x14ac:dyDescent="0.35">
      <c r="A38" s="66" t="s">
        <v>95</v>
      </c>
      <c r="B38" s="66">
        <v>143963</v>
      </c>
      <c r="D38" s="65" t="s">
        <v>95</v>
      </c>
      <c r="E38" s="65">
        <v>121331</v>
      </c>
      <c r="H38" s="52"/>
      <c r="I38" s="52"/>
      <c r="J38" s="52"/>
      <c r="K38" s="52"/>
      <c r="L38" s="52"/>
      <c r="M38" s="52"/>
    </row>
    <row r="39" spans="1:13" x14ac:dyDescent="0.35">
      <c r="A39" s="66" t="s">
        <v>96</v>
      </c>
      <c r="B39" s="66">
        <v>276905</v>
      </c>
      <c r="D39" s="65" t="s">
        <v>96</v>
      </c>
      <c r="E39" s="65">
        <v>236016</v>
      </c>
      <c r="H39" s="52"/>
      <c r="I39" s="52"/>
      <c r="J39" s="52"/>
      <c r="K39" s="52"/>
      <c r="L39" s="52"/>
      <c r="M39" s="52"/>
    </row>
    <row r="40" spans="1:13" x14ac:dyDescent="0.35">
      <c r="A40" s="66" t="s">
        <v>97</v>
      </c>
      <c r="B40" s="66">
        <v>6</v>
      </c>
      <c r="D40" s="65" t="s">
        <v>97</v>
      </c>
      <c r="E40" s="65">
        <v>6</v>
      </c>
      <c r="H40" s="52"/>
      <c r="I40" s="52"/>
      <c r="J40" s="52"/>
      <c r="K40" s="52"/>
      <c r="L40" s="52"/>
      <c r="M40" s="52"/>
    </row>
    <row r="41" spans="1:13" x14ac:dyDescent="0.35">
      <c r="H41" s="52"/>
      <c r="I41" s="52"/>
      <c r="J41" s="52"/>
      <c r="K41" s="52"/>
      <c r="L41" s="52"/>
      <c r="M41" s="52"/>
    </row>
    <row r="42" spans="1:13" x14ac:dyDescent="0.35">
      <c r="H42" s="52"/>
      <c r="I42" s="52"/>
      <c r="J42" s="52"/>
      <c r="K42" s="52"/>
      <c r="L42" s="52"/>
      <c r="M42" s="52"/>
    </row>
    <row r="43" spans="1:13" x14ac:dyDescent="0.35">
      <c r="H43" s="52"/>
      <c r="I43" s="52"/>
      <c r="J43" s="52"/>
      <c r="K43" s="52"/>
      <c r="L43" s="52"/>
      <c r="M43" s="52"/>
    </row>
    <row r="44" spans="1:13" x14ac:dyDescent="0.35">
      <c r="H44" s="52"/>
      <c r="I44" s="52"/>
      <c r="J44" s="52"/>
      <c r="K44" s="52"/>
      <c r="L44" s="52"/>
      <c r="M44" s="52"/>
    </row>
  </sheetData>
  <mergeCells count="3">
    <mergeCell ref="A1:G1"/>
    <mergeCell ref="A26:B26"/>
    <mergeCell ref="D26:E26"/>
  </mergeCells>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7904-49A4-421E-BEC0-70CF775D5510}">
  <sheetPr>
    <tabColor theme="4" tint="0.59999389629810485"/>
  </sheetPr>
  <dimension ref="A1:AB21"/>
  <sheetViews>
    <sheetView showGridLines="0" topLeftCell="A11" zoomScale="52" zoomScaleNormal="356" workbookViewId="0">
      <selection activeCell="R25" sqref="R25"/>
    </sheetView>
  </sheetViews>
  <sheetFormatPr defaultRowHeight="14.5" x14ac:dyDescent="0.35"/>
  <cols>
    <col min="1" max="1" width="25.26953125" customWidth="1"/>
    <col min="2" max="2" width="7.26953125" customWidth="1"/>
    <col min="3" max="3" width="15.7265625" customWidth="1"/>
    <col min="4" max="4" width="11.6328125" customWidth="1"/>
    <col min="5" max="5" width="14.1796875" customWidth="1"/>
    <col min="6" max="6" width="12.54296875" customWidth="1"/>
    <col min="7" max="7" width="11.7265625" customWidth="1"/>
    <col min="8" max="8" width="11.54296875" customWidth="1"/>
    <col min="9" max="9" width="10.26953125" customWidth="1"/>
    <col min="10" max="10" width="11.81640625" customWidth="1"/>
    <col min="11" max="11" width="10.453125" customWidth="1"/>
    <col min="12" max="12" width="9.54296875" customWidth="1"/>
    <col min="13" max="14" width="11" customWidth="1"/>
    <col min="15" max="15" width="9.36328125" bestFit="1" customWidth="1"/>
    <col min="16" max="16" width="18.453125" customWidth="1"/>
    <col min="17" max="18" width="10.7265625" bestFit="1" customWidth="1"/>
    <col min="19" max="19" width="10" customWidth="1"/>
    <col min="20" max="20" width="9.08984375" customWidth="1"/>
    <col min="21" max="21" width="9.6328125" customWidth="1"/>
    <col min="22" max="22" width="6.54296875" customWidth="1"/>
    <col min="23" max="23" width="8" customWidth="1"/>
    <col min="24" max="24" width="9" customWidth="1"/>
    <col min="25" max="25" width="6.81640625" bestFit="1" customWidth="1"/>
    <col min="26" max="26" width="10.7265625" bestFit="1" customWidth="1"/>
    <col min="27" max="27" width="9.90625" customWidth="1"/>
  </cols>
  <sheetData>
    <row r="1" spans="1:28" ht="29" customHeight="1" x14ac:dyDescent="0.35">
      <c r="A1" s="79" t="s">
        <v>50</v>
      </c>
      <c r="B1" s="79"/>
      <c r="C1" s="79"/>
      <c r="D1" s="79"/>
      <c r="E1" s="79"/>
      <c r="F1" s="79"/>
      <c r="G1" s="79"/>
      <c r="H1" s="79"/>
      <c r="I1" s="79"/>
      <c r="J1" s="79"/>
      <c r="K1" s="79"/>
      <c r="L1" s="79"/>
      <c r="M1" s="79"/>
      <c r="N1" s="79"/>
      <c r="O1" s="79"/>
      <c r="P1" s="79"/>
      <c r="Q1" s="79"/>
      <c r="R1" s="79"/>
      <c r="S1" s="79"/>
      <c r="T1" s="79"/>
      <c r="U1" s="79"/>
      <c r="V1" s="79"/>
      <c r="W1" s="79"/>
      <c r="X1" s="79"/>
      <c r="Y1" s="79"/>
      <c r="Z1" s="79"/>
      <c r="AA1" s="79"/>
    </row>
    <row r="2" spans="1:28" ht="53" customHeight="1" x14ac:dyDescent="0.35">
      <c r="A2" s="1" t="s">
        <v>5</v>
      </c>
      <c r="B2" s="2" t="s">
        <v>6</v>
      </c>
      <c r="C2" s="3" t="s">
        <v>22</v>
      </c>
      <c r="D2" s="3" t="s">
        <v>27</v>
      </c>
      <c r="E2" s="3" t="s">
        <v>28</v>
      </c>
      <c r="F2" s="3" t="s">
        <v>16</v>
      </c>
      <c r="G2" s="3" t="s">
        <v>29</v>
      </c>
      <c r="H2" s="3" t="s">
        <v>30</v>
      </c>
      <c r="I2" s="3" t="s">
        <v>31</v>
      </c>
      <c r="J2" s="3" t="s">
        <v>32</v>
      </c>
      <c r="K2" s="3" t="s">
        <v>33</v>
      </c>
      <c r="L2" s="3" t="s">
        <v>34</v>
      </c>
      <c r="M2" s="3" t="s">
        <v>35</v>
      </c>
      <c r="N2" s="3" t="s">
        <v>40</v>
      </c>
      <c r="O2" s="3" t="s">
        <v>41</v>
      </c>
      <c r="P2" s="3" t="s">
        <v>36</v>
      </c>
      <c r="Q2" s="3" t="s">
        <v>42</v>
      </c>
      <c r="R2" s="3" t="s">
        <v>43</v>
      </c>
      <c r="S2" s="3" t="s">
        <v>37</v>
      </c>
      <c r="T2" s="3" t="s">
        <v>44</v>
      </c>
      <c r="U2" s="3" t="s">
        <v>45</v>
      </c>
      <c r="V2" s="3" t="s">
        <v>38</v>
      </c>
      <c r="W2" s="3" t="s">
        <v>46</v>
      </c>
      <c r="X2" s="3" t="s">
        <v>47</v>
      </c>
      <c r="Y2" s="3" t="s">
        <v>39</v>
      </c>
      <c r="Z2" s="3" t="s">
        <v>48</v>
      </c>
      <c r="AA2" s="5" t="s">
        <v>49</v>
      </c>
    </row>
    <row r="3" spans="1:28" ht="15" customHeight="1" x14ac:dyDescent="0.35">
      <c r="A3" s="30" t="s">
        <v>11</v>
      </c>
      <c r="B3" s="31" t="s">
        <v>0</v>
      </c>
      <c r="C3" s="30" t="s">
        <v>17</v>
      </c>
      <c r="D3" s="30">
        <v>216742</v>
      </c>
      <c r="E3" s="30">
        <v>165047</v>
      </c>
      <c r="F3" s="30">
        <f t="shared" ref="F3:F12" si="0">SUM(D3:E3)</f>
        <v>381789</v>
      </c>
      <c r="G3" s="30">
        <v>178570</v>
      </c>
      <c r="H3" s="30">
        <v>134879</v>
      </c>
      <c r="I3" s="30">
        <f t="shared" ref="I3:I12" si="1">SUM(G3:H3)</f>
        <v>313449</v>
      </c>
      <c r="J3" s="30">
        <v>31914</v>
      </c>
      <c r="K3" s="30">
        <v>25807</v>
      </c>
      <c r="L3" s="30">
        <f t="shared" ref="L3:L12" si="2">SUM(J3:K3)</f>
        <v>57721</v>
      </c>
      <c r="M3" s="30">
        <v>1135</v>
      </c>
      <c r="N3" s="30">
        <v>1021</v>
      </c>
      <c r="O3" s="30">
        <f t="shared" ref="O3:O12" si="3">SUM(M3:N3)</f>
        <v>2156</v>
      </c>
      <c r="P3" s="30">
        <v>2462</v>
      </c>
      <c r="Q3" s="30">
        <v>1756</v>
      </c>
      <c r="R3" s="30">
        <f t="shared" ref="R3:R12" si="4">SUM(P3:Q3)</f>
        <v>4218</v>
      </c>
      <c r="S3" s="30">
        <v>2236</v>
      </c>
      <c r="T3" s="30">
        <v>1261</v>
      </c>
      <c r="U3" s="30">
        <f t="shared" ref="U3:U12" si="5">SUM(S3:T3)</f>
        <v>3497</v>
      </c>
      <c r="V3" s="30">
        <v>93</v>
      </c>
      <c r="W3" s="30">
        <v>89</v>
      </c>
      <c r="X3" s="30">
        <f t="shared" ref="X3:X12" si="6">SUM(V3:W3)</f>
        <v>182</v>
      </c>
      <c r="Y3" s="30">
        <v>30</v>
      </c>
      <c r="Z3" s="30">
        <v>20</v>
      </c>
      <c r="AA3" s="32">
        <f t="shared" ref="AA3:AA12" si="7">SUM(Y3:Z3)</f>
        <v>50</v>
      </c>
    </row>
    <row r="4" spans="1:28" ht="15" customHeight="1" x14ac:dyDescent="0.35">
      <c r="A4" s="30" t="s">
        <v>11</v>
      </c>
      <c r="B4" s="31" t="s">
        <v>0</v>
      </c>
      <c r="C4" s="30" t="s">
        <v>18</v>
      </c>
      <c r="D4" s="30">
        <v>167349</v>
      </c>
      <c r="E4" s="30">
        <v>172187</v>
      </c>
      <c r="F4" s="30">
        <f t="shared" si="0"/>
        <v>339536</v>
      </c>
      <c r="G4" s="30">
        <v>143025</v>
      </c>
      <c r="H4" s="30">
        <v>147901</v>
      </c>
      <c r="I4" s="30">
        <f t="shared" si="1"/>
        <v>290926</v>
      </c>
      <c r="J4" s="30">
        <v>19781</v>
      </c>
      <c r="K4" s="30">
        <v>19668</v>
      </c>
      <c r="L4" s="30">
        <f t="shared" si="2"/>
        <v>39449</v>
      </c>
      <c r="M4" s="30">
        <v>922</v>
      </c>
      <c r="N4" s="30">
        <v>907</v>
      </c>
      <c r="O4" s="30">
        <f t="shared" si="3"/>
        <v>1829</v>
      </c>
      <c r="P4" s="30">
        <v>2377</v>
      </c>
      <c r="Q4" s="30">
        <v>2391</v>
      </c>
      <c r="R4" s="30">
        <f t="shared" si="4"/>
        <v>4768</v>
      </c>
      <c r="S4" s="30">
        <v>928</v>
      </c>
      <c r="T4" s="30">
        <v>1023</v>
      </c>
      <c r="U4" s="30">
        <f t="shared" si="5"/>
        <v>1951</v>
      </c>
      <c r="V4" s="30">
        <v>89</v>
      </c>
      <c r="W4" s="30">
        <v>102</v>
      </c>
      <c r="X4" s="30">
        <f t="shared" si="6"/>
        <v>191</v>
      </c>
      <c r="Y4" s="30">
        <v>18</v>
      </c>
      <c r="Z4" s="30">
        <v>20</v>
      </c>
      <c r="AA4" s="32">
        <f t="shared" si="7"/>
        <v>38</v>
      </c>
    </row>
    <row r="5" spans="1:28" ht="15" customHeight="1" x14ac:dyDescent="0.35">
      <c r="A5" s="30" t="s">
        <v>11</v>
      </c>
      <c r="B5" s="31" t="s">
        <v>0</v>
      </c>
      <c r="C5" s="30" t="s">
        <v>19</v>
      </c>
      <c r="D5" s="30">
        <v>7680</v>
      </c>
      <c r="E5" s="30">
        <v>23485</v>
      </c>
      <c r="F5" s="30">
        <f t="shared" si="0"/>
        <v>31165</v>
      </c>
      <c r="G5" s="30">
        <v>6688</v>
      </c>
      <c r="H5" s="30">
        <v>20763</v>
      </c>
      <c r="I5" s="30">
        <f t="shared" si="1"/>
        <v>27451</v>
      </c>
      <c r="J5" s="30">
        <v>750</v>
      </c>
      <c r="K5" s="30">
        <v>1953</v>
      </c>
      <c r="L5" s="30">
        <f t="shared" si="2"/>
        <v>2703</v>
      </c>
      <c r="M5" s="30">
        <v>31</v>
      </c>
      <c r="N5" s="30">
        <v>126</v>
      </c>
      <c r="O5" s="30">
        <f t="shared" si="3"/>
        <v>157</v>
      </c>
      <c r="P5" s="30">
        <v>116</v>
      </c>
      <c r="Q5" s="30">
        <v>347</v>
      </c>
      <c r="R5" s="30">
        <f t="shared" si="4"/>
        <v>463</v>
      </c>
      <c r="S5" s="30">
        <v>83</v>
      </c>
      <c r="T5" s="30">
        <v>252</v>
      </c>
      <c r="U5" s="30">
        <f t="shared" si="5"/>
        <v>335</v>
      </c>
      <c r="V5" s="30">
        <v>3</v>
      </c>
      <c r="W5" s="30">
        <v>12</v>
      </c>
      <c r="X5" s="30">
        <f t="shared" si="6"/>
        <v>15</v>
      </c>
      <c r="Y5" s="30">
        <v>2</v>
      </c>
      <c r="Z5" s="30">
        <v>2</v>
      </c>
      <c r="AA5" s="32">
        <f t="shared" si="7"/>
        <v>4</v>
      </c>
    </row>
    <row r="6" spans="1:28" ht="15" customHeight="1" x14ac:dyDescent="0.35">
      <c r="A6" s="30" t="s">
        <v>11</v>
      </c>
      <c r="B6" s="31" t="s">
        <v>0</v>
      </c>
      <c r="C6" s="30" t="s">
        <v>20</v>
      </c>
      <c r="D6" s="30">
        <v>779</v>
      </c>
      <c r="E6" s="30">
        <v>754</v>
      </c>
      <c r="F6" s="30">
        <f t="shared" si="0"/>
        <v>1533</v>
      </c>
      <c r="G6" s="30">
        <v>678</v>
      </c>
      <c r="H6" s="30">
        <v>655</v>
      </c>
      <c r="I6" s="30">
        <f t="shared" si="1"/>
        <v>1333</v>
      </c>
      <c r="J6" s="30">
        <v>61</v>
      </c>
      <c r="K6" s="30">
        <v>68</v>
      </c>
      <c r="L6" s="30">
        <f t="shared" si="2"/>
        <v>129</v>
      </c>
      <c r="M6" s="30">
        <v>6</v>
      </c>
      <c r="N6" s="30">
        <v>10</v>
      </c>
      <c r="O6" s="30">
        <f t="shared" si="3"/>
        <v>16</v>
      </c>
      <c r="P6" s="30">
        <v>19</v>
      </c>
      <c r="Q6" s="30">
        <v>8</v>
      </c>
      <c r="R6" s="30">
        <f t="shared" si="4"/>
        <v>27</v>
      </c>
      <c r="S6" s="30">
        <v>15</v>
      </c>
      <c r="T6" s="30">
        <v>12</v>
      </c>
      <c r="U6" s="30">
        <f t="shared" si="5"/>
        <v>27</v>
      </c>
      <c r="V6" s="30">
        <v>0</v>
      </c>
      <c r="W6" s="30">
        <v>0</v>
      </c>
      <c r="X6" s="30">
        <f t="shared" si="6"/>
        <v>0</v>
      </c>
      <c r="Y6" s="30">
        <v>0</v>
      </c>
      <c r="Z6" s="30">
        <v>0</v>
      </c>
      <c r="AA6" s="32">
        <f t="shared" si="7"/>
        <v>0</v>
      </c>
    </row>
    <row r="7" spans="1:28" ht="15" customHeight="1" x14ac:dyDescent="0.35">
      <c r="A7" s="30" t="s">
        <v>11</v>
      </c>
      <c r="B7" s="31" t="s">
        <v>0</v>
      </c>
      <c r="C7" s="30" t="s">
        <v>21</v>
      </c>
      <c r="D7" s="30">
        <v>341</v>
      </c>
      <c r="E7" s="30">
        <v>389</v>
      </c>
      <c r="F7" s="30">
        <f t="shared" si="0"/>
        <v>730</v>
      </c>
      <c r="G7" s="30">
        <v>280</v>
      </c>
      <c r="H7" s="30">
        <v>323</v>
      </c>
      <c r="I7" s="30">
        <f t="shared" si="1"/>
        <v>603</v>
      </c>
      <c r="J7" s="30">
        <v>44</v>
      </c>
      <c r="K7" s="30">
        <v>46</v>
      </c>
      <c r="L7" s="30">
        <f t="shared" si="2"/>
        <v>90</v>
      </c>
      <c r="M7" s="30">
        <v>2</v>
      </c>
      <c r="N7" s="30">
        <v>7</v>
      </c>
      <c r="O7" s="30">
        <f t="shared" si="3"/>
        <v>9</v>
      </c>
      <c r="P7" s="30">
        <v>6</v>
      </c>
      <c r="Q7" s="30">
        <v>4</v>
      </c>
      <c r="R7" s="30">
        <f t="shared" si="4"/>
        <v>10</v>
      </c>
      <c r="S7" s="30">
        <v>8</v>
      </c>
      <c r="T7" s="30">
        <v>5</v>
      </c>
      <c r="U7" s="30">
        <f t="shared" si="5"/>
        <v>13</v>
      </c>
      <c r="V7" s="30">
        <v>0</v>
      </c>
      <c r="W7" s="30">
        <v>3</v>
      </c>
      <c r="X7" s="30">
        <f t="shared" si="6"/>
        <v>3</v>
      </c>
      <c r="Y7" s="30">
        <v>0</v>
      </c>
      <c r="Z7" s="30">
        <v>0</v>
      </c>
      <c r="AA7" s="32">
        <f t="shared" si="7"/>
        <v>0</v>
      </c>
    </row>
    <row r="8" spans="1:28" ht="15" customHeight="1" x14ac:dyDescent="0.35">
      <c r="A8" s="33" t="s">
        <v>11</v>
      </c>
      <c r="B8" s="34" t="s">
        <v>1</v>
      </c>
      <c r="C8" s="33" t="s">
        <v>17</v>
      </c>
      <c r="D8" s="33">
        <v>258708</v>
      </c>
      <c r="E8" s="33">
        <v>184641</v>
      </c>
      <c r="F8" s="33">
        <f t="shared" si="0"/>
        <v>443349</v>
      </c>
      <c r="G8" s="33">
        <v>211969</v>
      </c>
      <c r="H8" s="33">
        <v>150378</v>
      </c>
      <c r="I8" s="33">
        <f t="shared" si="1"/>
        <v>362347</v>
      </c>
      <c r="J8" s="33">
        <v>33216</v>
      </c>
      <c r="K8" s="33">
        <v>24785</v>
      </c>
      <c r="L8" s="33">
        <f t="shared" si="2"/>
        <v>58001</v>
      </c>
      <c r="M8" s="33">
        <v>2341</v>
      </c>
      <c r="N8" s="33">
        <v>2088</v>
      </c>
      <c r="O8" s="33">
        <f t="shared" si="3"/>
        <v>4429</v>
      </c>
      <c r="P8" s="33">
        <v>6695</v>
      </c>
      <c r="Q8" s="33">
        <v>4921</v>
      </c>
      <c r="R8" s="33">
        <f t="shared" si="4"/>
        <v>11616</v>
      </c>
      <c r="S8" s="33">
        <v>2799</v>
      </c>
      <c r="T8" s="33">
        <v>1219</v>
      </c>
      <c r="U8" s="33">
        <f t="shared" si="5"/>
        <v>4018</v>
      </c>
      <c r="V8" s="33">
        <v>1039</v>
      </c>
      <c r="W8" s="33">
        <v>794</v>
      </c>
      <c r="X8" s="33">
        <f t="shared" si="6"/>
        <v>1833</v>
      </c>
      <c r="Y8" s="33">
        <v>27</v>
      </c>
      <c r="Z8" s="33">
        <v>41</v>
      </c>
      <c r="AA8" s="35">
        <f t="shared" si="7"/>
        <v>68</v>
      </c>
    </row>
    <row r="9" spans="1:28" ht="15" customHeight="1" x14ac:dyDescent="0.35">
      <c r="A9" s="33" t="s">
        <v>11</v>
      </c>
      <c r="B9" s="34" t="s">
        <v>1</v>
      </c>
      <c r="C9" s="33" t="s">
        <v>18</v>
      </c>
      <c r="D9" s="33">
        <v>230962</v>
      </c>
      <c r="E9" s="33">
        <v>226298</v>
      </c>
      <c r="F9" s="33">
        <f t="shared" si="0"/>
        <v>457260</v>
      </c>
      <c r="G9" s="33">
        <v>198147</v>
      </c>
      <c r="H9" s="33">
        <v>194664</v>
      </c>
      <c r="I9" s="33">
        <f t="shared" si="1"/>
        <v>392811</v>
      </c>
      <c r="J9" s="33">
        <v>20991</v>
      </c>
      <c r="K9" s="33">
        <v>20191</v>
      </c>
      <c r="L9" s="33">
        <f t="shared" si="2"/>
        <v>41182</v>
      </c>
      <c r="M9" s="33">
        <v>2083</v>
      </c>
      <c r="N9" s="33">
        <v>2165</v>
      </c>
      <c r="O9" s="33">
        <f t="shared" si="3"/>
        <v>4248</v>
      </c>
      <c r="P9" s="33">
        <v>6997</v>
      </c>
      <c r="Q9" s="33">
        <v>6880</v>
      </c>
      <c r="R9" s="33">
        <f t="shared" si="4"/>
        <v>13877</v>
      </c>
      <c r="S9" s="33">
        <v>1084</v>
      </c>
      <c r="T9" s="33">
        <v>676</v>
      </c>
      <c r="U9" s="33">
        <f t="shared" si="5"/>
        <v>1760</v>
      </c>
      <c r="V9" s="33">
        <v>1301</v>
      </c>
      <c r="W9" s="33">
        <v>1332</v>
      </c>
      <c r="X9" s="33">
        <f t="shared" si="6"/>
        <v>2633</v>
      </c>
      <c r="Y9" s="33">
        <v>20</v>
      </c>
      <c r="Z9" s="33">
        <v>23</v>
      </c>
      <c r="AA9" s="35">
        <f t="shared" si="7"/>
        <v>43</v>
      </c>
    </row>
    <row r="10" spans="1:28" ht="15" customHeight="1" x14ac:dyDescent="0.35">
      <c r="A10" s="33" t="s">
        <v>11</v>
      </c>
      <c r="B10" s="34" t="s">
        <v>1</v>
      </c>
      <c r="C10" s="33" t="s">
        <v>19</v>
      </c>
      <c r="D10" s="33">
        <v>8470</v>
      </c>
      <c r="E10" s="33">
        <v>29940</v>
      </c>
      <c r="F10" s="33">
        <f t="shared" si="0"/>
        <v>38410</v>
      </c>
      <c r="G10" s="33">
        <v>7250</v>
      </c>
      <c r="H10" s="33">
        <v>26314</v>
      </c>
      <c r="I10" s="33">
        <f t="shared" si="1"/>
        <v>33564</v>
      </c>
      <c r="J10" s="33">
        <v>612</v>
      </c>
      <c r="K10" s="33">
        <v>1927</v>
      </c>
      <c r="L10" s="33">
        <f t="shared" si="2"/>
        <v>2539</v>
      </c>
      <c r="M10" s="33">
        <v>112</v>
      </c>
      <c r="N10" s="33">
        <v>389</v>
      </c>
      <c r="O10" s="33">
        <f t="shared" si="3"/>
        <v>501</v>
      </c>
      <c r="P10" s="33">
        <v>367</v>
      </c>
      <c r="Q10" s="33">
        <v>991</v>
      </c>
      <c r="R10" s="33">
        <f t="shared" si="4"/>
        <v>1358</v>
      </c>
      <c r="S10" s="33">
        <v>41</v>
      </c>
      <c r="T10" s="33">
        <v>99</v>
      </c>
      <c r="U10" s="33">
        <f t="shared" si="5"/>
        <v>140</v>
      </c>
      <c r="V10" s="33">
        <v>72</v>
      </c>
      <c r="W10" s="33">
        <v>174</v>
      </c>
      <c r="X10" s="33">
        <f t="shared" si="6"/>
        <v>246</v>
      </c>
      <c r="Y10" s="33">
        <v>3</v>
      </c>
      <c r="Z10" s="33">
        <v>10</v>
      </c>
      <c r="AA10" s="35">
        <f t="shared" si="7"/>
        <v>13</v>
      </c>
    </row>
    <row r="11" spans="1:28" ht="15" customHeight="1" x14ac:dyDescent="0.35">
      <c r="A11" s="33" t="s">
        <v>11</v>
      </c>
      <c r="B11" s="34" t="s">
        <v>1</v>
      </c>
      <c r="C11" s="33" t="s">
        <v>20</v>
      </c>
      <c r="D11" s="33">
        <v>746</v>
      </c>
      <c r="E11" s="33">
        <v>1078</v>
      </c>
      <c r="F11" s="33">
        <f t="shared" si="0"/>
        <v>1824</v>
      </c>
      <c r="G11" s="33">
        <v>640</v>
      </c>
      <c r="H11" s="33">
        <v>931</v>
      </c>
      <c r="I11" s="33">
        <f t="shared" si="1"/>
        <v>1571</v>
      </c>
      <c r="J11" s="33">
        <v>44</v>
      </c>
      <c r="K11" s="33">
        <v>80</v>
      </c>
      <c r="L11" s="33">
        <f t="shared" si="2"/>
        <v>124</v>
      </c>
      <c r="M11" s="33">
        <v>14</v>
      </c>
      <c r="N11" s="33">
        <v>22</v>
      </c>
      <c r="O11" s="33">
        <f t="shared" si="3"/>
        <v>36</v>
      </c>
      <c r="P11" s="33">
        <v>30</v>
      </c>
      <c r="Q11" s="33">
        <v>38</v>
      </c>
      <c r="R11" s="33">
        <f t="shared" si="4"/>
        <v>68</v>
      </c>
      <c r="S11" s="33">
        <v>13</v>
      </c>
      <c r="T11" s="33">
        <v>4</v>
      </c>
      <c r="U11" s="33">
        <f t="shared" si="5"/>
        <v>17</v>
      </c>
      <c r="V11" s="33">
        <v>2</v>
      </c>
      <c r="W11" s="33">
        <v>2</v>
      </c>
      <c r="X11" s="33">
        <f t="shared" si="6"/>
        <v>4</v>
      </c>
      <c r="Y11" s="33">
        <v>0</v>
      </c>
      <c r="Z11" s="33">
        <v>1</v>
      </c>
      <c r="AA11" s="35">
        <f t="shared" si="7"/>
        <v>1</v>
      </c>
    </row>
    <row r="12" spans="1:28" ht="15" customHeight="1" x14ac:dyDescent="0.35">
      <c r="A12" s="33" t="s">
        <v>11</v>
      </c>
      <c r="B12" s="34" t="s">
        <v>1</v>
      </c>
      <c r="C12" s="33" t="s">
        <v>21</v>
      </c>
      <c r="D12" s="33">
        <v>422</v>
      </c>
      <c r="E12" s="33">
        <v>676</v>
      </c>
      <c r="F12" s="33">
        <f t="shared" si="0"/>
        <v>1098</v>
      </c>
      <c r="G12" s="33">
        <v>337</v>
      </c>
      <c r="H12" s="33">
        <v>524</v>
      </c>
      <c r="I12" s="33">
        <f t="shared" si="1"/>
        <v>861</v>
      </c>
      <c r="J12" s="33">
        <v>36</v>
      </c>
      <c r="K12" s="33">
        <v>83</v>
      </c>
      <c r="L12" s="33">
        <f t="shared" si="2"/>
        <v>119</v>
      </c>
      <c r="M12" s="33">
        <v>10</v>
      </c>
      <c r="N12" s="33">
        <v>25</v>
      </c>
      <c r="O12" s="33">
        <f t="shared" si="3"/>
        <v>35</v>
      </c>
      <c r="P12" s="33">
        <v>24</v>
      </c>
      <c r="Q12" s="33">
        <v>25</v>
      </c>
      <c r="R12" s="33">
        <f t="shared" si="4"/>
        <v>49</v>
      </c>
      <c r="S12" s="33">
        <v>8</v>
      </c>
      <c r="T12" s="33">
        <v>12</v>
      </c>
      <c r="U12" s="33">
        <f t="shared" si="5"/>
        <v>20</v>
      </c>
      <c r="V12" s="33">
        <v>6</v>
      </c>
      <c r="W12" s="33">
        <v>4</v>
      </c>
      <c r="X12" s="33">
        <f t="shared" si="6"/>
        <v>10</v>
      </c>
      <c r="Y12" s="33">
        <v>0</v>
      </c>
      <c r="Z12" s="33">
        <v>0</v>
      </c>
      <c r="AA12" s="35">
        <f t="shared" si="7"/>
        <v>0</v>
      </c>
    </row>
    <row r="14" spans="1:28" x14ac:dyDescent="0.35">
      <c r="A14" s="57" t="s">
        <v>63</v>
      </c>
      <c r="B14" s="57" t="s">
        <v>64</v>
      </c>
      <c r="C14" s="56"/>
    </row>
    <row r="15" spans="1:28" ht="38" customHeight="1" x14ac:dyDescent="0.35">
      <c r="A15" s="57" t="s">
        <v>59</v>
      </c>
      <c r="B15" s="56" t="s">
        <v>0</v>
      </c>
      <c r="C15" s="56" t="s">
        <v>1</v>
      </c>
      <c r="E15" s="59" t="s">
        <v>63</v>
      </c>
      <c r="F15" s="59" t="s">
        <v>64</v>
      </c>
      <c r="G15" s="60"/>
      <c r="H15" s="60"/>
      <c r="I15" s="60"/>
      <c r="J15" s="60"/>
      <c r="K15" s="60"/>
      <c r="M15" s="62" t="s">
        <v>59</v>
      </c>
      <c r="N15" s="62" t="s">
        <v>21</v>
      </c>
      <c r="P15" s="59" t="s">
        <v>63</v>
      </c>
      <c r="Q15" s="59" t="s">
        <v>64</v>
      </c>
      <c r="R15" s="60"/>
      <c r="T15" s="59" t="s">
        <v>59</v>
      </c>
      <c r="U15" s="60" t="s">
        <v>83</v>
      </c>
      <c r="V15" s="60" t="s">
        <v>84</v>
      </c>
      <c r="W15" s="60" t="s">
        <v>78</v>
      </c>
      <c r="X15" s="60" t="s">
        <v>82</v>
      </c>
      <c r="Y15" s="60" t="s">
        <v>81</v>
      </c>
      <c r="Z15" s="60" t="s">
        <v>79</v>
      </c>
      <c r="AA15" s="60" t="s">
        <v>80</v>
      </c>
      <c r="AB15" s="58"/>
    </row>
    <row r="16" spans="1:28" ht="29" x14ac:dyDescent="0.35">
      <c r="A16" s="56" t="s">
        <v>21</v>
      </c>
      <c r="B16" s="56">
        <v>730</v>
      </c>
      <c r="C16" s="56">
        <v>1098</v>
      </c>
      <c r="E16" s="59" t="s">
        <v>59</v>
      </c>
      <c r="F16" s="60" t="s">
        <v>21</v>
      </c>
      <c r="G16" s="60" t="s">
        <v>18</v>
      </c>
      <c r="H16" s="60" t="s">
        <v>17</v>
      </c>
      <c r="I16" s="60" t="s">
        <v>20</v>
      </c>
      <c r="J16" s="60" t="s">
        <v>19</v>
      </c>
      <c r="K16" s="60" t="s">
        <v>60</v>
      </c>
      <c r="M16" s="60" t="s">
        <v>0</v>
      </c>
      <c r="N16" s="60">
        <v>730</v>
      </c>
      <c r="P16" s="59" t="s">
        <v>59</v>
      </c>
      <c r="Q16" s="60" t="s">
        <v>0</v>
      </c>
      <c r="R16" s="60" t="s">
        <v>1</v>
      </c>
      <c r="T16" s="60" t="s">
        <v>0</v>
      </c>
      <c r="U16" s="60">
        <v>391</v>
      </c>
      <c r="V16" s="60">
        <v>92</v>
      </c>
      <c r="W16" s="60">
        <v>633762</v>
      </c>
      <c r="X16" s="60">
        <v>5823</v>
      </c>
      <c r="Y16" s="60">
        <v>9486</v>
      </c>
      <c r="Z16" s="60">
        <v>100092</v>
      </c>
      <c r="AA16" s="60">
        <v>4167</v>
      </c>
      <c r="AB16" s="58"/>
    </row>
    <row r="17" spans="1:28" x14ac:dyDescent="0.35">
      <c r="A17" s="56" t="s">
        <v>18</v>
      </c>
      <c r="B17" s="56">
        <v>339536</v>
      </c>
      <c r="C17" s="56">
        <v>457260</v>
      </c>
      <c r="E17" s="60" t="s">
        <v>0</v>
      </c>
      <c r="F17" s="60">
        <v>730</v>
      </c>
      <c r="G17" s="60">
        <v>339536</v>
      </c>
      <c r="H17" s="60">
        <v>381789</v>
      </c>
      <c r="I17" s="60">
        <v>1533</v>
      </c>
      <c r="J17" s="60">
        <v>31165</v>
      </c>
      <c r="K17" s="60">
        <v>754753</v>
      </c>
      <c r="M17" s="60" t="s">
        <v>1</v>
      </c>
      <c r="N17" s="60">
        <v>1098</v>
      </c>
      <c r="P17" s="60" t="s">
        <v>21</v>
      </c>
      <c r="Q17" s="60">
        <v>730</v>
      </c>
      <c r="R17" s="60">
        <v>1098</v>
      </c>
      <c r="T17" s="60" t="s">
        <v>1</v>
      </c>
      <c r="U17" s="60">
        <v>4726</v>
      </c>
      <c r="V17" s="60">
        <v>125</v>
      </c>
      <c r="W17" s="60">
        <v>791154</v>
      </c>
      <c r="X17" s="60">
        <v>5955</v>
      </c>
      <c r="Y17" s="60">
        <v>26968</v>
      </c>
      <c r="Z17" s="60">
        <v>101965</v>
      </c>
      <c r="AA17" s="60">
        <v>9249</v>
      </c>
      <c r="AB17" s="58"/>
    </row>
    <row r="18" spans="1:28" x14ac:dyDescent="0.35">
      <c r="A18" s="56" t="s">
        <v>17</v>
      </c>
      <c r="B18" s="56">
        <v>381789</v>
      </c>
      <c r="C18" s="56">
        <v>443349</v>
      </c>
      <c r="E18" s="60" t="s">
        <v>1</v>
      </c>
      <c r="F18" s="60">
        <v>1098</v>
      </c>
      <c r="G18" s="60">
        <v>457260</v>
      </c>
      <c r="H18" s="60">
        <v>443349</v>
      </c>
      <c r="I18" s="60">
        <v>1824</v>
      </c>
      <c r="J18" s="60">
        <v>38410</v>
      </c>
      <c r="K18" s="60">
        <v>941941</v>
      </c>
      <c r="M18" s="62"/>
      <c r="N18" s="62"/>
      <c r="P18" s="60" t="s">
        <v>18</v>
      </c>
      <c r="Q18" s="60">
        <v>339536</v>
      </c>
      <c r="R18" s="60">
        <v>457260</v>
      </c>
    </row>
    <row r="19" spans="1:28" ht="29" x14ac:dyDescent="0.35">
      <c r="A19" s="56" t="s">
        <v>20</v>
      </c>
      <c r="B19" s="56">
        <v>1533</v>
      </c>
      <c r="C19" s="56">
        <v>1824</v>
      </c>
      <c r="E19" s="60" t="s">
        <v>60</v>
      </c>
      <c r="F19" s="60">
        <v>1828</v>
      </c>
      <c r="G19" s="60">
        <v>796796</v>
      </c>
      <c r="H19" s="60">
        <v>825138</v>
      </c>
      <c r="I19" s="60">
        <v>3357</v>
      </c>
      <c r="J19" s="60">
        <v>69575</v>
      </c>
      <c r="K19" s="60">
        <v>1696694</v>
      </c>
      <c r="P19" s="60" t="s">
        <v>17</v>
      </c>
      <c r="Q19" s="60">
        <v>381789</v>
      </c>
      <c r="R19" s="60">
        <v>443349</v>
      </c>
    </row>
    <row r="20" spans="1:28" ht="29" x14ac:dyDescent="0.35">
      <c r="A20" s="56" t="s">
        <v>19</v>
      </c>
      <c r="B20" s="56">
        <v>31165</v>
      </c>
      <c r="C20" s="56">
        <v>38410</v>
      </c>
      <c r="P20" s="60" t="s">
        <v>20</v>
      </c>
      <c r="Q20" s="60">
        <v>1533</v>
      </c>
      <c r="R20" s="60">
        <v>1824</v>
      </c>
    </row>
    <row r="21" spans="1:28" x14ac:dyDescent="0.35">
      <c r="P21" s="60" t="s">
        <v>19</v>
      </c>
      <c r="Q21" s="60">
        <v>31165</v>
      </c>
      <c r="R21" s="60">
        <v>38410</v>
      </c>
    </row>
  </sheetData>
  <mergeCells count="1">
    <mergeCell ref="A1:AA1"/>
  </mergeCells>
  <pageMargins left="0.7" right="0.7" top="0.75" bottom="0.75" header="0.3" footer="0.3"/>
  <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0AC0-DEA1-4E01-8CDF-363989AA4800}">
  <dimension ref="A4:AS21"/>
  <sheetViews>
    <sheetView showGridLines="0" tabSelected="1" topLeftCell="B27" zoomScale="76" zoomScaleNormal="40" workbookViewId="0">
      <selection activeCell="AR46" sqref="AR46"/>
    </sheetView>
  </sheetViews>
  <sheetFormatPr defaultRowHeight="14.5" x14ac:dyDescent="0.35"/>
  <cols>
    <col min="36" max="36" width="8.7265625" customWidth="1"/>
  </cols>
  <sheetData>
    <row r="4" spans="1:45" ht="22" customHeight="1" x14ac:dyDescent="0.35"/>
    <row r="8" spans="1:45" ht="15.5" x14ac:dyDescent="0.35">
      <c r="A8" s="53"/>
    </row>
    <row r="11" spans="1:45" ht="15.5" x14ac:dyDescent="0.35">
      <c r="AS11" s="53"/>
    </row>
    <row r="21" spans="45:45" x14ac:dyDescent="0.35">
      <c r="AS21" t="s">
        <v>100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Population</vt:lpstr>
      <vt:lpstr>Surviving Children</vt:lpstr>
      <vt:lpstr>Education</vt:lpstr>
      <vt:lpstr>Marital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Annapurna Zutshi</dc:creator>
  <cp:lastModifiedBy>Annapurna Zutshi</cp:lastModifiedBy>
  <dcterms:created xsi:type="dcterms:W3CDTF">2025-10-04T16:45:13Z</dcterms:created>
  <dcterms:modified xsi:type="dcterms:W3CDTF">2025-11-01T07:06:44Z</dcterms:modified>
</cp:coreProperties>
</file>